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</row>
    <row r="2">
      <c r="A2">
        <f>== Voter 1 ===
EPIC: SPJ2753440
निर्वाचक का नाम: ; सुखमनिया देवी निर्वाचक का नाम रवीना देवी साह निर्वाचक का नाम श्रावण कुमार यादव
पति का नाम: बिरजू खतबे पति का नाम दीपेश साह पिता का नाम दाणी यादव
मकान संख्या: 0
उम्र: 65 वर्ष
फोटो उपलब्ध
--------------------------------------------------
</f>
        <v/>
      </c>
      <c r="B2">
        <f>== Voter 2 ===
EPIC: PJ20639235
मकान संख्या: 0
उम्र: 65 वर्ष
फोटो उपलब्ध
--------------------------------------------------
</f>
        <v/>
      </c>
      <c r="C2">
        <f>== Voter 3 ===
EPIC: SPJ2327586
निर्वाचक का नाम: किशोरी राम
पिता का नाम: मुँगा लाल राम
मकान संख्या: 0
उम्र: 65 वर्ष, लिंग: पुरुष
फोटो उपलब्ध
--------------------------------------------------
</f>
        <v/>
      </c>
      <c r="D2">
        <f>== Voter 4 ===
EPIC: MFV2563708
पति का नाम: चंदन कुमार चौपाल
उम्र: 65 वर्ष, लिंग: महिला
--------------------------------------------------
</f>
        <v/>
      </c>
      <c r="E2">
        <f>== Voter 5 ===
EPIC: SPJ2647932
निर्वाचक का नाम: बलदेव राम
पिता का नाम: मुंगालाल राम
मकान संख्या: 7
उम्र: 67 वर्ष
फोटो उपलब्ध
--------------------------------------------------
</f>
        <v/>
      </c>
      <c r="F2">
        <f>== Voter 6 ===
EPIC: MFV0096644
निर्वाचक का नाम: धनेश्वरी देवी
पति का नाम: सहदेव राम
मकान संख्या: 0
उम्र: 24 वर्ष, लिंग: महिला
फोटो उपलब्ध
--------------------------------------------------
</f>
        <v/>
      </c>
      <c r="G2">
        <f>== Voter 7 ===
EPIC: MFV0023705
निर्वाचक का नाम: agar देवी
मकान संख्या: फ़ोटो उपलब्ध
उम्र: 62 वर्ष, लिंग: ; महिला
--------------------------------------------------
</f>
        <v/>
      </c>
      <c r="H2">
        <f>== Voter 8 ===
EPIC: MFV0026054
निर्वाचक का नाम: सुबोध राम
पिता का नाम: मुंगालाल राम
उम्र: 62 वर्ष, लिंग: पुरुष
--------------------------------------------------
</f>
        <v/>
      </c>
      <c r="I2">
        <f>== Voter 9 ===
EPIC: MFV0026633
निर्वाचक का नाम: समून्द्रादेवी
पति का नाम: सूर्य राम
मकान संख्या: 7
उम्र: 54 वर्ष, लिंग: पुरुष
फोटो उपलब्ध
--------------------------------------------------
</f>
        <v/>
      </c>
      <c r="J2">
        <f>== Voter 10 ===
EPIC: MFV0026647
निर्वाचक का नाम: दिनेश राम
पिता का नाम: सहदेव राम
मकान संख्या: 7
उम्र: 54 वर्ष, लिंग: पुरुष
फोटो उपलब्ध
--------------------------------------------------
</f>
        <v/>
      </c>
      <c r="K2">
        <f>== Voter 11 ===
EPIC: MFV0090762
निर्वाचक का नाम: चानो देवी
पति का नाम: दिनेश राम
मकान संख्या: संख्या :
उम्र: 54 वर्ष, लिंग: महिला
फोटो उपलब्ध
--------------------------------------------------
</f>
        <v/>
      </c>
      <c r="L2">
        <f>== Voter 12 ===
EPIC: SPJ7520907
निर्वाचक का नाम: अशोक राम
पिता का नाम: सूर्य ना राम
मकान संख्या: संख्या :
उम्र: 54 वर्ष, लिंग: पुरुष
फोटो उपलब्ध
--------------------------------------------------
</f>
        <v/>
      </c>
      <c r="M2">
        <f>== Voter 13 ===
EPIC: SPJ0785852
निर्वाचक का नाम: रेखा कुमारी भारती
पिता का नाम: सहदेव राम
मकान संख्या: 7
उम्र: 48 वर्ष, लिंग: महिला
फोटो उपलब्ध
--------------------------------------------------
</f>
        <v/>
      </c>
      <c r="N2">
        <f>== Voter 14 ===
EPIC: SPJ0373486
निर्वाचक का नाम: ; सागर कुमार दास
पिता का नाम: उमेश दास
मकान संख्या: 7
उम्र: 43 वर्ष, लिंग: ; पुरुष
फोटो उपलब्ध
--------------------------------------------------
</f>
        <v/>
      </c>
      <c r="O2">
        <f>== Voter 15 ===
EPIC: SPJ7965060
निर्वाचक का नाम: श्याम कुमार राम निर्वाचक का नाम ; रवि tora कुमार
पिता का नाम: किशोरी राम पिता का नाम महेंद्र राम
मकान संख्या: I
उम्र: 37 वर्ष, लिंग: पुरुष
फोटो उपलब्ध
--------------------------------------------------
</f>
        <v/>
      </c>
      <c r="P2">
        <f>== Voter 16 ===
EPIC: PJ00590790
मकान संख्या: संख्या :
उम्र: 38 वर्ष
फोटो उपलब्ध
--------------------------------------------------
</f>
        <v/>
      </c>
      <c r="Q2">
        <f>== Voter 17 ===
EPIC: SPJ0059082
मकान संख्या: संख्या :
उम्र: 37 वर्ष
फोटो उपलब्ध
--------------------------------------------------
</f>
        <v/>
      </c>
      <c r="R2">
        <f>== Voter 18 ===
EPIC: SPJ0208486
मकान संख्या: संख्या :
उम्र: 37 वर्ष
फोटो उपलब्ध
--------------------------------------------------
</f>
        <v/>
      </c>
      <c r="S2">
        <f>== Voter 19 ===
EPIC: SPJ2668705
मकान संख्या: संख्या :
उम्र: 37 वर्ष
फोटो उपलब्ध
--------------------------------------------------
</f>
        <v/>
      </c>
      <c r="T2">
        <f>== Voter 20 ===
EPIC: PU20562650
मकान संख्या: 04
उम्र: 36 वर्ष
फोटो उपलब्ध
--------------------------------------------------
</f>
        <v/>
      </c>
      <c r="U2">
        <f>== Voter 21 ===
EPIC: PJ20498442
मकान संख्या: 07
उम्र: 27 वर्ष
फोटो उपलब्ध
--------------------------------------------------
</f>
        <v/>
      </c>
      <c r="V2">
        <f>== Voter 22 ===
EPIC: SPU2562676
मकान संख्या: 0
उम्र: 20 वर्ष
फोटो उपलब्ध
--------------------------------------------------
</f>
        <v/>
      </c>
      <c r="W2">
        <f>== Voter 23 ===
EPIC: SPJ0288727
निर्वाचक का नाम: किशोरी राम
मकान संख्या: 0
उम्र: 20 वर्ष
फोटो उपलब्ध
--------------------------------------------------
</f>
        <v/>
      </c>
      <c r="X2" t="inlineStr"/>
      <c r="Y2" t="inlineStr"/>
      <c r="Z2" t="inlineStr"/>
      <c r="AA2" t="inlineStr"/>
      <c r="AB2" t="inlineStr"/>
    </row>
    <row r="3">
      <c r="A3">
        <f>== Voter 1 ===
EPIC: MFV0098384
निर्वाचक का नाम: ; वसंत लाल राम
पिता का नाम: भुटकुन राम पिता का ATA फुदन राम पिता का नाम फुदन राम
मकान संख्या: 3
उम्र: 62 वर्ष
फोटो उपलब्ध
--------------------------------------------------
</f>
        <v/>
      </c>
      <c r="B3">
        <f>== Voter 2 ===
EPIC: MFV0098293
मकान संख्या: 3
उम्र: 62 वर्ष
फोटो उपलब्ध
--------------------------------------------------
</f>
        <v/>
      </c>
      <c r="C3">
        <f>== Voter 3 ===
EPIC: MFV0098467
निर्वाचक का नाम: बाबुनारायण राम
पिता का नाम: फुदन राम
मकान संख्या: 3
उम्र: 62 वर्ष, लिंग: पुरुष
फोटो उपलब्ध
--------------------------------------------------
</f>
        <v/>
      </c>
      <c r="D3">
        <f>== Voter 4 ===
EPIC: SPJ7635796
निर्वाचक का नाम: रतनी देवी
उम्र: 62 वर्ष
--------------------------------------------------
</f>
        <v/>
      </c>
      <c r="E3">
        <f>== Voter 5 ===
EPIC: MFV0096438
निर्वाचक का नाम: घूनालाल राम
पिता का नाम: फुदन राम
उम्र: 62 वर्ष, लिंग: पुरुष
--------------------------------------------------
</f>
        <v/>
      </c>
      <c r="F3">
        <f>== Voter 6 ===
EPIC: MFV0097782
निर्वाचक का नाम: ; सीता देवी
मकान संख्या: 3
उम्र: 39 वर्ष, लिंग: ; महिला
फोटो उपलब्ध
--------------------------------------------------
</f>
        <v/>
      </c>
      <c r="G3">
        <f>== Voter 7 ===
EPIC: MFV0256287
निर्वाचक का नाम: रुपेश कुमार राम
मकान संख्या: 3
उम्र: 39 वर्ष, लिंग: ; महिला
फोटो उपलब्ध
--------------------------------------------------
</f>
        <v/>
      </c>
      <c r="H3">
        <f>== Voter 8 ===
EPIC: SPJ0033437
निर्वाचक का नाम: राज कुमार
पिता का नाम: उपेंद्र खतवे
मकान संख्या: 3
उम्र: 42 वर्ष, लिंग: पुरुष
फोटो उपलब्ध
--------------------------------------------------
</f>
        <v/>
      </c>
      <c r="I3">
        <f>== Voter 9 ===
EPIC: SPJ2668655
निर्वाचक का नाम: चंदन कुमार राम
पिता का नाम: हरी राम
मकान संख्या: 03
उम्र: 39 वर्ष, लिंग: महिला
फोटो उपलब्ध
--------------------------------------------------
</f>
        <v/>
      </c>
      <c r="J3">
        <f>== Voter 10 ===
EPIC: SPJ2565042
निर्वाचक का नाम: गंगा राम
पिता का नाम: हरी लाल राम
मकान संख्या: 03
उम्र: 25 वर्ष, लिंग: पुरुष
फोटो उपलब्ध
--------------------------------------------------
</f>
        <v/>
      </c>
      <c r="K3">
        <f>== Voter 11 ===
EPIC: SPJ0306854
निर्वाचक का नाम: महेश यादव
पिता का नाम: शालीग्राम यादव
मकान संख्या: 3
उम्र: 27 वर्ष
फोटो उपलब्ध
--------------------------------------------------
</f>
        <v/>
      </c>
      <c r="L3">
        <f>== Voter 12 ===
EPIC: SPJ3066537
निर्वाचक का नाम: ; नजमा खातून
पति का नाम: वकील मीया
मकान संख्या: 03
उम्र: 30 वर्ष
फोटो उपलब्ध
--------------------------------------------------
</f>
        <v/>
      </c>
      <c r="M3">
        <f>== Voter 13 ===
EPIC: WSB2687648
पिता का नाम: हरी लाल राम
मकान संख्या: 03
उम्र: 30 वर्ष, लिंग: पुरुष
फोटो उपलब्ध
--------------------------------------------------
</f>
        <v/>
      </c>
      <c r="N3">
        <f>== Voter 14 ===
EPIC: MFV5009782
पति का नाम: महेश यादव
मकान संख्या: 4
उम्र: 24 वर्ष, लिंग: महिला
फोटो उपलब्ध
--------------------------------------------------
</f>
        <v/>
      </c>
      <c r="O3">
        <f>== Voter 15 ===
EPIC: SPJ2880276
निर्वाचक का नाम: धर्मेंद्र कुमार शर्मा
पिता का नाम: राम कीशुन शर्मा
मकान संख्या: 4
उम्र: 44 वर्ष, लिंग: पुरुष
फोटो उपलब्ध
--------------------------------------------------
</f>
        <v/>
      </c>
      <c r="P3">
        <f>== Voter 16 ===
EPIC: SPJ2063675
निर्वाचक का नाम: नीलम देवी
पति का नाम: प्रमोद कुमार खतवे
मकान संख्या: 04
उम्र: 35 वर्ष, लिंग: महिला
फोटो उपलब्ध
--------------------------------------------------
</f>
        <v/>
      </c>
      <c r="Q3">
        <f>== Voter 17 ===
EPIC: SPJ0256363
निर्वाचक का नाम: आरती कुमारी
मकान संख्या: 4
उम्र: 35 वर्ष, लिंग: महिला
फोटो उपलब्ध
--------------------------------------------------
</f>
        <v/>
      </c>
      <c r="R3">
        <f>== Voter 18 ===
EPIC: SPJ2562775
निर्वाचक का नाम: ; संतोष मंडल
पिता का नाम: चन्द्रदेव मंडल
मकान संख्या: 04
उम्र: 40 वर्ष, लिंग: महिला
फोटो उपलब्ध
--------------------------------------------------
</f>
        <v/>
      </c>
      <c r="S3">
        <f>== Voter 19 ===
EPIC: SPJ0264082
निर्वाचक का नाम: ; संगीता देवी
पति का नाम: ; रवींद्र कुमार यादव
मकान संख्या: 04
उम्र: 23 वर्ष
फोटो उपलब्ध
--------------------------------------------------
</f>
        <v/>
      </c>
      <c r="T3">
        <f>== Voter 20 ===
EPIC: SPJ2753424
निर्वाचक का नाम: टोनी कुमारी
पिता का नाम: परशुराम यादव
मकान संख्या: 04
उम्र: 28 वर्ष, लिंग: पुरुष
फोटो उपलब्ध
--------------------------------------------------
</f>
        <v/>
      </c>
      <c r="U3">
        <f>== Voter 21 ===
EPIC: SPJ0776089
निर्वाचक का नाम: ललिता देवी
पिता का नाम: चन्द्रदेव मंडल
मकान संख्या: 05
उम्र: 23 वर्ष
फोटो उपलब्ध
--------------------------------------------------
</f>
        <v/>
      </c>
      <c r="V3">
        <f>== Voter 22 ===
EPIC: SPJ2884922
निर्वाचक का नाम: ; शिमला देवी
पिता का नाम: चन्द्रदेव मंडल
मकान संख्या: 05
उम्र: 23 वर्ष
फोटो उपलब्ध
--------------------------------------------------
</f>
        <v/>
      </c>
      <c r="W3">
        <f>== Voter 23 ===
EPIC: SPJ0256587
मकान संख्या: OS
उम्र: 40 वर्ष, लिंग: महिला
फोटो उपलब्ध
--------------------------------------------------
</f>
        <v/>
      </c>
      <c r="X3">
        <f>== Voter 24 ===
EPIC: SPJ2567579
मकान संख्या: OS
उम्र: 26 वर्ष
फोटो उपलब्ध
--------------------------------------------------
</f>
        <v/>
      </c>
      <c r="Y3">
        <f>== Voter 25 ===
EPIC: SPJ0442947
मकान संख्या: 05
फोटो उपलब्ध
--------------------------------------------------
</f>
        <v/>
      </c>
      <c r="Z3">
        <f>== Voter 26 ===
EPIC: SPJ2876969
--------------------------------------------------
</f>
        <v/>
      </c>
      <c r="AA3">
        <f>== Voter 27 ===
EPIC: SPJ2064384
मकान संख्या: 06
फोटो उपलब्ध
--------------------------------------------------
</f>
        <v/>
      </c>
      <c r="AB3" t="inlineStr"/>
    </row>
    <row r="4">
      <c r="A4">
        <f>== Voter 1 ===
EPIC: PJ00373205
निर्वाचक का नाम: ; निर्मला देवी निर्वाचक का नाम ; बिर्जेद्र ठाकूर निर्वाचक का नाम मिथुन खतवे
पति का नाम: परशु राम यादव पिता का AA टुनू पिता का नाम गुलवचंद्र खतवे
मकान संख्या: 7
उम्र: 40 वर्ष
फोटो उपलब्ध
--------------------------------------------------
</f>
        <v/>
      </c>
      <c r="B4">
        <f>== Voter 2 ===
EPIC: SPJ2853885
मकान संख्या: 7
उम्र: 40 वर्ष
फोटो उपलब्ध
--------------------------------------------------
</f>
        <v/>
      </c>
      <c r="C4">
        <f>== Voter 3 ===
EPIC: SPJ2565075
निर्वाचक का नाम: सीता देवी
पिता का नाम: गुलाम रसूल
मकान संख्या: 7
उम्र: 40 वर्ष, लिंग: ; पुरुष
फोटो उपलब्ध
--------------------------------------------------
</f>
        <v/>
      </c>
      <c r="D4">
        <f>== Voter 4 ===
EPIC: MFV5009733
निर्वाचक का नाम: शंकर कुमार मालाकार
पिता का नाम: रामानंद मालाकार
उम्र: 40 वर्ष
--------------------------------------------------
</f>
        <v/>
      </c>
      <c r="E4">
        <f>== Voter 5 ===
EPIC: SPJ2084937
उम्र: 40 वर्ष
--------------------------------------------------
</f>
        <v/>
      </c>
      <c r="F4">
        <f>== Voter 6 ===
EPIC: SPJ2753465
निर्वाचक का नाम: ; बिभा यादव
पिता का नाम: गोवर्धन खतबें
मकान संख्या: 07
उम्र: 22 वर्ष, लिंग: पुरुष
फोटो उपलब्ध
--------------------------------------------------
</f>
        <v/>
      </c>
      <c r="G4">
        <f>== Voter 7 ===
EPIC: SPJ2084929
निर्वाचक का नाम: निर्मला देवी
पिता का नाम: बुद्धेश्वर यादव
मकान संख्या: 8
उम्र: 50 वर्ष, लिंग: महिला
फोटो उपलब्ध
--------------------------------------------------
</f>
        <v/>
      </c>
      <c r="H4">
        <f>== Voter 8 ===
EPIC: SPJ2753499
मकान संख्या: 09
उम्र: 22 वर्ष
फोटो उपलब्ध
--------------------------------------------------
</f>
        <v/>
      </c>
      <c r="I4">
        <f>== Voter 9 ===
EPIC: SPJ2562734
निर्वाचक का नाम: जानकी देवी
पिता का नाम: कृपा राम खतबे
मकान संख्या: 09
उम्र: 50 वर्ष, लिंग: महिला
फोटो उपलब्ध
--------------------------------------------------
</f>
        <v/>
      </c>
      <c r="J4">
        <f>== Voter 10 ===
EPIC: SPJ0590208
निर्वाचक का नाम: ; रीता देवी
पति का नाम: राधे श्याम मेहता
मकान संख्या: 9
उम्र: 50 वर्ष, लिंग: ; महिला
फोटो उपलब्ध
--------------------------------------------------
</f>
        <v/>
      </c>
      <c r="K4">
        <f>== Voter 11 ===
EPIC: SPJ0275348
निर्वाचक का नाम: रेणु देवी
पिता का नाम: वीजेन्द्र मेहता
मकान संख्या: 9
उम्र: 50 वर्ष, लिंग: महिला
फोटो उपलब्ध
--------------------------------------------------
</f>
        <v/>
      </c>
      <c r="L4">
        <f>== Voter 12 ===
EPIC: SPJ2753507
निर्वाचक का नाम: दिलीप कुमार चौपाल
पिता का नाम: देव नारायण चौपल
मकान संख्या: 9
उम्र: 50 वर्ष, लिंग: पुरुष
फोटो उपलब्ध
--------------------------------------------------
</f>
        <v/>
      </c>
      <c r="M4">
        <f>== Voter 13 ===
EPIC: SPJ2639292
निर्वाचक का नाम: ort देवी
पति का नाम: राधेश्याम wad
मकान संख्या: 70
उम्र: 46 वर्ष
फोटो उपलब्ध
--------------------------------------------------
</f>
        <v/>
      </c>
      <c r="N4">
        <f>== Voter 14 ===
EPIC: SPJ0287983
निर्वाचक का नाम: ; दुलारी देवी
पति का नाम: राजा राम मेहता
मकान संख्या: 70
उम्र: 40 वर्ष, लिंग: ; महिला
फोटो उपलब्ध
--------------------------------------------------
</f>
        <v/>
      </c>
      <c r="O4">
        <f>== Voter 15 ===
EPIC: PJ20084903
निर्वाचक का नाम: ; रामदेव राम
पिता का नाम: बच्चा राम
मकान संख्या: 0
उम्र: 30 वर्ष
फोटो उपलब्ध
--------------------------------------------------
</f>
        <v/>
      </c>
      <c r="P4">
        <f>== Voter 16 ===
EPIC: SPJ2884924
निर्वाचक का नाम: मिश्रीलाल राम
पिता का नाम: बच्चाराम
मकान संख्या: ; 72 फ़ोटो उपलब्ध
उम्र: 27 वर्ष, लिंग: पुरुष
--------------------------------------------------
</f>
        <v/>
      </c>
      <c r="Q4">
        <f>== Voter 17 ===
EPIC: SPJ2879096
मकान संख्या: 0
उम्र: 27 वर्ष
फोटो उपलब्ध
--------------------------------------------------
</f>
        <v/>
      </c>
      <c r="R4">
        <f>== Voter 18 ===
EPIC: MFV2562429
मकान संख्या: 7
उम्र: 24 वर्ष
फोटो उपलब्ध
--------------------------------------------------
</f>
        <v/>
      </c>
      <c r="S4">
        <f>== Voter 19 ===
EPIC: MFV0023374
मकान संख्या: 72
उम्र: 69 वर्ष
फोटो उपलब्ध
--------------------------------------------------
</f>
        <v/>
      </c>
      <c r="T4">
        <f>== Voter 20 ===
EPIC: MFV2562700
मकान संख्या: 72
उम्र: 69 वर्ष
फोटो उपलब्ध
--------------------------------------------------
</f>
        <v/>
      </c>
      <c r="U4">
        <f>== Voter 21 ===
EPIC: MFV0099689
मकान संख्या: 72
उम्र: 72 वर्ष
फोटो उपलब्ध
--------------------------------------------------
</f>
        <v/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>
        <f>== Voter 1 ===
EPIC: MFV0099978
मकान संख्या: 72
उम्र: 67 वर्ष
फोटो उपलब्ध
--------------------------------------------------
</f>
        <v/>
      </c>
      <c r="B5">
        <f>== Voter 2 ===
EPIC: MFV0002367
निर्वाचक का नाम: शिवचरण
मकान संख्या: 72
उम्र: 67 वर्ष
फोटो उपलब्ध
--------------------------------------------------
</f>
        <v/>
      </c>
      <c r="C5">
        <f>== Voter 3 ===
EPIC: MFV0028779
निर्वाचक का नाम: शिवचरण
मकान संख्या: 72
उम्र: 67 वर्ष
फोटो उपलब्ध
--------------------------------------------------
</f>
        <v/>
      </c>
      <c r="D5">
        <f>== Voter 4 ===
EPIC: PJ00797035
निर्वाचक का नाम: शिवचरण
मकान संख्या: 72
उम्र: 29 वर्ष, लिंग: पुरुष
फोटो उपलब्ध
--------------------------------------------------
</f>
        <v/>
      </c>
      <c r="E5">
        <f>== Voter 5 ===
EPIC: SPJ2084846
निर्वाचक का नाम: शिवचरण
मकान संख्या: 72
उम्र: 49 वर्ष
फोटो उपलब्ध
--------------------------------------------------
</f>
        <v/>
      </c>
      <c r="F5">
        <f>== Voter 6 ===
EPIC: PJ20639342
मकान संख्या: 72
उम्र: 36 वर्ष, लिंग: पुरुष
फोटो उपलब्ध
--------------------------------------------------
</f>
        <v/>
      </c>
      <c r="G5">
        <f>== Voter 7 ===
EPIC: SPJ2639334
मकान संख्या: 72
उम्र: 36 वर्ष
फोटो उपलब्ध
--------------------------------------------------
</f>
        <v/>
      </c>
      <c r="H5">
        <f>== Voter 8 ===
EPIC: SPJ2084853
मकान संख्या: 72
उम्र: 29 वर्ष
फोटो उपलब्ध
--------------------------------------------------
</f>
        <v/>
      </c>
      <c r="I5">
        <f>== Voter 9 ===
EPIC: SPJ2256220
मकान संख्या: 2
उम्र: 29 वर्ष
फोटो उपलब्ध
--------------------------------------------------
</f>
        <v/>
      </c>
      <c r="J5">
        <f>== Voter 10 ===
EPIC: SPJ2932630
मकान संख्या: 2
उम्र: 26 वर्ष, लिंग: पुरुष
फोटो उपलब्ध
--------------------------------------------------
</f>
        <v/>
      </c>
      <c r="K5">
        <f>== Voter 11 ===
EPIC: SPJ0264757
मकान संख्या: 73
उम्र: 26 वर्ष
फोटो उपलब्ध
--------------------------------------------------
</f>
        <v/>
      </c>
      <c r="L5">
        <f>== Voter 12 ===
EPIC: MFV2563799
मकान संख्या: 4
उम्र: 29 वर्ष
फोटो उपलब्ध
--------------------------------------------------
</f>
        <v/>
      </c>
      <c r="M5">
        <f>== Voter 13 ===
EPIC: SPJ0059026
मकान संख्या: 4
उम्र: 37 वर्ष
फोटो उपलब्ध
--------------------------------------------------
</f>
        <v/>
      </c>
      <c r="N5">
        <f>== Voter 14 ===
EPIC: SPJ2063790
मकान संख्या: 4
फोटो उपलब्ध
--------------------------------------------------
</f>
        <v/>
      </c>
      <c r="O5">
        <f>== Voter 15 ===
EPIC: SPJ2063782
मकान संख्या: 4
उम्र: 37 वर्ष
फोटो उपलब्ध
--------------------------------------------------
</f>
        <v/>
      </c>
      <c r="P5">
        <f>== Voter 16 ===
EPIC: SP309659
मकान संख्या: 6
उम्र: 25 वर्ष
फोटो उपलब्ध
--------------------------------------------------
</f>
        <v/>
      </c>
      <c r="Q5">
        <f>== Voter 17 ===
EPIC: SPJ2064434
मकान संख्या: 7
फोटो उपलब्ध
--------------------------------------------------
</f>
        <v/>
      </c>
      <c r="R5">
        <f>== Voter 18 ===
EPIC: SPJ0965086
मकान संख्या: 7
फोटो उपलब्ध
--------------------------------------------------
</f>
        <v/>
      </c>
      <c r="S5">
        <f>== Voter 19 ===
EPIC: SPU2885093
मकान संख्या: 6
फोटो उपलब्ध
--------------------------------------------------
</f>
        <v/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>
        <f>== Voter 1 ===
EPIC: SPJ2753267
निर्वाचक का नाम: र॑भा देवी
पति का नाम: सोने राम पिता का ara रामनंद राम प्रति का art सरिता देवी ..
मकान संख्या: 77
उम्र: 37 वर्ष
फोटो उपलब्ध
--------------------------------------------------
</f>
        <v/>
      </c>
      <c r="B6">
        <f>== Voter 2 ===
EPIC: SPJ3066578
मकान संख्या: 77
उम्र: 37 वर्ष
फोटो उपलब्ध
--------------------------------------------------
</f>
        <v/>
      </c>
      <c r="C6">
        <f>== Voter 3 ===
EPIC: SPJ3069333
निर्वाचक का नाम: मनीषा देवी
पति का नाम: लाल मोहन शर्मा
मकान संख्या: 77
उम्र: 37 वर्ष, लिंग: ; महिला
फोटो उपलब्ध
--------------------------------------------------
</f>
        <v/>
      </c>
      <c r="D6">
        <f>== Voter 4 ===
EPIC: SPJ2753309
निर्वाचक का नाम: जीतनारायण यादव
पिता का नाम: जगतनारायण यादव
उम्र: 37 वर्ष, लिंग: महिला
--------------------------------------------------
</f>
        <v/>
      </c>
      <c r="E6">
        <f>== Voter 5 ===
EPIC: SPJ2064426
निर्वाचक का नाम: भिखों राम
पिता का नाम: रामवृक्ष राम
मकान संख्या: 77
उम्र: 29 वर्ष, लिंग: पुरुष
फोटो उपलब्ध
--------------------------------------------------
</f>
        <v/>
      </c>
      <c r="F6">
        <f>== Voter 6 ===
EPIC: PJ20274740
निर्वाचक का नाम: मनोज कुमार राम
पिता का नाम: राम वृक्ष राम
मकान संख्या: 77
उम्र: 27 वर्ष, लिंग: पुरुष
फोटो उपलब्ध
--------------------------------------------------
</f>
        <v/>
      </c>
      <c r="G6">
        <f>== Voter 7 ===
EPIC: SPJ2753294
निर्वाचक का नाम: जितेन्द्र कुमार साह
पिता का नाम: बेचन साह
मकान संख्या: 7
उम्र: 34 वर्ष, लिंग: पुरुष
फोटो उपलब्ध
--------------------------------------------------
</f>
        <v/>
      </c>
      <c r="H6">
        <f>== Voter 8 ===
EPIC: MFV0023770
निर्वाचक का नाम: किन्नु राम
पिता का नाम: छठु राम
मकान संख्या: 7
उम्र: 34 वर्ष, लिंग: पुरुष
फोटो उपलब्ध
--------------------------------------------------
</f>
        <v/>
      </c>
      <c r="I6">
        <f>== Voter 9 ===
EPIC: SPJ0520873
निर्वाचक का नाम: भुनेश्वर राम
पिता का नाम: छठू राम
मकान संख्या: 8
उम्र: 36 वर्ष, लिंग: पुरुष
फोटो उपलब्ध
--------------------------------------------------
</f>
        <v/>
      </c>
      <c r="J6">
        <f>== Voter 10 ===
EPIC: SPJ2064778
निर्वाचक का नाम: अरुण कुमार राम
पिता का नाम: किनु राम
मकान संख्या: 8
उम्र: 36 वर्ष, लिंग: पुरुष
फोटो उपलब्ध
--------------------------------------------------
</f>
        <v/>
      </c>
      <c r="K6">
        <f>== Voter 11 ===
EPIC: SPJ0256553
निर्वाचक का नाम: ; समतोलीया देवी
पिता का नाम: छठु राम
मकान संख्या: 78
उम्र: 27 वर्ष, लिंग: महिला
फोटो उपलब्ध
--------------------------------------------------
</f>
        <v/>
      </c>
      <c r="L6">
        <f>== Voter 12 ===
EPIC: SPJ2639250
निर्वाचक का नाम: मोहन राम
मकान संख्या: 78
उम्र: 27 वर्ष, लिंग: पुरुष
फोटो उपलब्ध
--------------------------------------------------
</f>
        <v/>
      </c>
      <c r="M6">
        <f>== Voter 13 ===
EPIC: MFV0096904
निर्वाचक का नाम: विजय कुमार राम
पिता का नाम: भुनेश्वर राम
मकान संख्या: 78
उम्र: 24 वर्ष, लिंग: ; पुरुष
फोटो उपलब्ध
--------------------------------------------------
</f>
        <v/>
      </c>
      <c r="N6">
        <f>== Voter 14 ===
EPIC: MFV0026898
निर्वाचक का नाम: रामकुमार राम
पिता का नाम: भुनेश्वर राम
मकान संख्या: 9
उम्र: 64 वर्ष, लिंग: पुरुष
फोटो उपलब्ध
--------------------------------------------------
</f>
        <v/>
      </c>
      <c r="O6">
        <f>== Voter 15 ===
EPIC: MFV0002327
निर्वाचक का नाम: ; अर्जुन राम
पिता का नाम: सिकम लाल राम
मकान संख्या: 79
उम्र: 59 वर्ष, लिंग: पुरुष
फोटो उपलब्ध
--------------------------------------------------
</f>
        <v/>
      </c>
      <c r="P6">
        <f>== Voter 16 ===
EPIC: MFV0023853
निर्वाचक का नाम: चंद्री देवी
मकान संख्या: 9
उम्र: 43 वर्ष, लिंग: ; पुरुष
फोटो उपलब्ध
--------------------------------------------------
</f>
        <v/>
      </c>
      <c r="Q6">
        <f>== Voter 17 ===
EPIC: MFV0009754
मकान संख्या: 9
उम्र: 55 वर्ष
फोटो उपलब्ध
--------------------------------------------------
</f>
        <v/>
      </c>
      <c r="R6">
        <f>== Voter 18 ===
EPIC: PJ00590224
पिता का नाम: ढोढन शर्मा
मकान संख्या: 79
उम्र: 57 वर्ष
फोटो उपलब्ध
--------------------------------------------------
</f>
        <v/>
      </c>
      <c r="S6">
        <f>== Voter 19 ===
EPIC: SPJ2753366
पिता का नाम: ढोढन शर्मा
मकान संख्या: 79
उम्र: 57 वर्ष
फोटो उपलब्ध
--------------------------------------------------
</f>
        <v/>
      </c>
      <c r="T6">
        <f>== Voter 20 ===
EPIC: SPJ0298247
मकान संख्या: 49
उम्र: 24 वर्ष
फोटो उपलब्ध
--------------------------------------------------
</f>
        <v/>
      </c>
      <c r="U6">
        <f>== Voter 21 ===
EPIC: MFV0029207
मकान संख्या: 49
उम्र: 24 वर्ष
फोटो उपलब्ध
--------------------------------------------------
</f>
        <v/>
      </c>
      <c r="V6">
        <f>== Voter 22 ===
EPIC: MFV0002630
मकान संख्या: 49
उम्र: 24 वर्ष
फोटो उपलब्ध
--------------------------------------------------
</f>
        <v/>
      </c>
      <c r="W6">
        <f>== Voter 23 ===
EPIC: MFV0256330
मकान संख्या: 79
उम्र: 22 वर्ष
फोटो उपलब्ध
--------------------------------------------------
</f>
        <v/>
      </c>
      <c r="X6">
        <f>== Voter 24 ===
EPIC: MFV0002667
मकान संख्या: ; 20
उम्र: 48 वर्ष
फोटो उपलब्ध
--------------------------------------------------
</f>
        <v/>
      </c>
      <c r="Y6" t="inlineStr"/>
      <c r="Z6" t="inlineStr"/>
      <c r="AA6" t="inlineStr"/>
      <c r="AB6" t="inlineStr"/>
    </row>
    <row r="7">
      <c r="A7">
        <f>== Voter 1 ===
EPIC: MFV0039024
निर्वाचक का नाम: ; जुगल राम
पिता का नाम: अंजबलाल पति का नाम चेतलाल राम प्रति का नाम जुगल राम
मकान संख्या: 24
उम्र: 72 वर्ष
फोटो उपलब्ध
--------------------------------------------------
</f>
        <v/>
      </c>
      <c r="B7">
        <f>== Voter 2 ===
EPIC: MFV0023622
मकान संख्या: 24
उम्र: 72 वर्ष
फोटो उपलब्ध
--------------------------------------------------
</f>
        <v/>
      </c>
      <c r="C7">
        <f>== Voter 3 ===
EPIC: MFV0024349
निर्वाचक का नाम: सितियादेवी
पिता का नाम: खटर राम
मकान संख्या: 24
उम्र: 72 वर्ष, लिंग: ; पुरुष
फोटो उपलब्ध
--------------------------------------------------
</f>
        <v/>
      </c>
      <c r="D7">
        <f>== Voter 4 ===
EPIC: MFV0026658
पिता का नाम: खटटर राम
उम्र: 72 वर्ष, लिंग: पुरुष
--------------------------------------------------
</f>
        <v/>
      </c>
      <c r="E7">
        <f>== Voter 5 ===
EPIC: MFV0099770
निर्वाचक का नाम: जीतनी देवी
पति का नाम: राजेश राम
मकान संख्या: ; 2
उम्र: 72 वर्ष, लिंग: महिला
फोटो उपलब्ध
--------------------------------------------------
</f>
        <v/>
      </c>
      <c r="F7">
        <f>== Voter 6 ===
EPIC: MFV0029264
निर्वाचक का नाम: सुरेन्द्र राय
पिता का नाम: जुगल राय
मकान संख्या: ; 2
उम्र: 57 वर्ष, लिंग: पुरुष
फोटो उपलब्ध
--------------------------------------------------
</f>
        <v/>
      </c>
      <c r="G7">
        <f>== Voter 7 ===
EPIC: SPU2064350
मकान संख्या: 27
उम्र: 57 वर्ष
फोटो उपलब्ध
--------------------------------------------------
</f>
        <v/>
      </c>
      <c r="H7">
        <f>== Voter 8 ===
EPIC: SPJ7965094
निर्वाचक का नाम: अशोक कुमार चौपाल निर्वाचक का नाम कुंती कुमारी निर्वाचक का नाम विरछीराम
पिता का नाम: सकलदेव चौपाल प्रति का नाम अशोक कुमार चौपाल पिता का नाम कनकीर राम
मकान संख्या: 2
उम्र: 43 वर्ष
फोटो उपलब्ध
--------------------------------------------------
</f>
        <v/>
      </c>
      <c r="I7">
        <f>== Voter 9 ===
EPIC: SPJI520832
निर्वाचक का नाम: सुरेश राम
पिता का नाम: विछी लाल राम
मकान संख्या: 27
उम्र: 35 वर्ष, लिंग: पुरुष
फोटो उपलब्ध
--------------------------------------------------
</f>
        <v/>
      </c>
      <c r="J7">
        <f>== Voter 10 ===
EPIC: SPJ0206494
निर्वाचक का नाम: सकलदेव चौपाल प्रति का नाम अशोक कुमार चौपाल
पिता का नाम: विछी लाल राम
मकान संख्या: 27
उम्र: 35 वर्ष, लिंग: महिला
फोटो उपलब्ध
--------------------------------------------------
</f>
        <v/>
      </c>
      <c r="K7">
        <f>== Voter 11 ===
EPIC: SPJ2753397
निर्वाचक का नाम: रामरूप राम
पिता का नाम: विछी लाल राम
मकान संख्या: 22 फ़ोटो उपलब्ध
उम्र: 35 वर्ष, लिंग: पुरुष
--------------------------------------------------
</f>
        <v/>
      </c>
      <c r="L7">
        <f>== Voter 12 ===
EPIC: MFV0097402
निर्वाचक का नाम: सकलदेव चौपाल प्रति का नाम अशोक कुमार चौपाल
पिता का नाम: गंगा यादव
मकान संख्या: 27
उम्र: 35 वर्ष, लिंग: पुरुष
फोटो उपलब्ध
--------------------------------------------------
</f>
        <v/>
      </c>
      <c r="M7">
        <f>== Voter 13 ===
EPIC: MFV2563229
निर्वाचक का नाम: सकलदेव चौपाल प्रति का नाम अशोक कुमार चौपाल
पिता का नाम: खोनाम यादव
मकान संख्या: 27
उम्र: 24 वर्ष, लिंग: पुरुष
फोटो उपलब्ध
--------------------------------------------------
</f>
        <v/>
      </c>
      <c r="N7">
        <f>== Voter 14 ===
EPIC: SPJ0033544
पिता का नाम: विछी लाल राम
मकान संख्या: 22
फोटो उपलब्ध
--------------------------------------------------
</f>
        <v/>
      </c>
      <c r="O7">
        <f>== Voter 15 ===
EPIC: MFV0099648
निर्वाचक का नाम: ; अरुण कुमार सदा
पिता का नाम: जलेश सदा
मकान संख्या: 22
उम्र: 57 वर्ष, लिंग: पुरुष
फोटो उपलब्ध
--------------------------------------------------
</f>
        <v/>
      </c>
      <c r="P7">
        <f>== Voter 16 ===
EPIC: SPJ2064442
निर्वाचक का नाम: सुनीता देवी
पति का नाम: बेचन राम
मकान संख्या: 22
उम्र: 60 वर्ष, लिंग: महिला
फोटो उपलब्ध
--------------------------------------------------
</f>
        <v/>
      </c>
      <c r="Q7">
        <f>== Voter 17 ===
EPIC: SPJ2844629
निर्वाचक का नाम: सदानंद कुमार
पिता का नाम: भुटकुन राम
मकान संख्या: 22
उम्र: 34 वर्ष, लिंग: पुरुष
फोटो उपलब्ध
--------------------------------------------------
</f>
        <v/>
      </c>
      <c r="R7">
        <f>== Voter 18 ===
EPIC: SPJ0590232
निर्वाचक का नाम: ; अज़मतुल्लाह
पिता का नाम: गुल मोहम्मद
मकान संख्या: 22
उम्र: 36 वर्ष, लिंग: पुरुष
फोटो उपलब्ध
--------------------------------------------------
</f>
        <v/>
      </c>
      <c r="S7">
        <f>== Voter 19 ===
EPIC: SPJ2639367
उम्र: 36 वर्ष
--------------------------------------------------
</f>
        <v/>
      </c>
      <c r="T7">
        <f>== Voter 20 ===
EPIC: SPJ2064459
उम्र: 36 वर्ष
--------------------------------------------------
</f>
        <v/>
      </c>
      <c r="U7">
        <f>== Voter 21 ===
EPIC: MFV0026765
मकान संख्या: 23
उम्र: 36 वर्ष
फोटो उपलब्ध
--------------------------------------------------
</f>
        <v/>
      </c>
      <c r="V7">
        <f>== Voter 22 ===
EPIC: SPJ2668677
मकान संख्या: 23
उम्र: 30 वर्ष
फोटो उपलब्ध
--------------------------------------------------
</f>
        <v/>
      </c>
      <c r="W7">
        <f>== Voter 23 ===
EPIC: MFV0096669
मकान संख्या: 23
उम्र: 45 वर्ष
फोटो उपलब्ध
--------------------------------------------------
</f>
        <v/>
      </c>
      <c r="X7">
        <f>== Voter 24 ===
EPIC: PJ20763473
मकान संख्या: 23
उम्र: 48 वर्ष
फोटो उपलब्ध
--------------------------------------------------
</f>
        <v/>
      </c>
      <c r="Y7">
        <f>== Voter 25 ===
EPIC: MFV0025248
पिता का नाम: गुल मोहम्मद
मकान संख्या: 24
उम्र: 52 वर्ष
फोटो उपलब्ध
--------------------------------------------------
</f>
        <v/>
      </c>
      <c r="Z7">
        <f>== Voter 26 ===
EPIC: PJ20877208
मकान संख्या: 24
उम्र: 52 वर्ष
फोटो उपलब्ध
--------------------------------------------------
</f>
        <v/>
      </c>
      <c r="AA7" t="inlineStr"/>
      <c r="AB7" t="inlineStr"/>
    </row>
    <row r="8">
      <c r="A8">
        <f>== Voter 1 ===
EPIC: SPJ2668739
निर्वाचक का नाम: सीता देवी निर्वाचक का नाम लक्ष्मी देवी यादव निर्वाचक का नाम ; शंकर कुमार यादव
पति का नाम: जागेश्वर खतबे पिता का नाम शंकर कुमार पिता का नाम गंगा राम यादव
मकान संख्या: 24
उम्र: 37 वर्ष
फोटो उपलब्ध
--------------------------------------------------
</f>
        <v/>
      </c>
      <c r="B8">
        <f>== Voter 2 ===
EPIC: PJ20853836
पिता का नाम: चलित्र राम
मकान संख्या: 24
उम्र: 37 वर्ष
फोटो उपलब्ध
--------------------------------------------------
</f>
        <v/>
      </c>
      <c r="C8">
        <f>== Voter 3 ===
EPIC: PJ256278
निर्वाचक का नाम: प्रकाश कुमार
पिता का नाम: छुटहारू कटेव
मकान संख्या: 24
उम्र: 37 वर्ष, लिंग: ; पुरुष
फोटो उपलब्ध
--------------------------------------------------
</f>
        <v/>
      </c>
      <c r="D8">
        <f>== Voter 4 ===
EPIC: SPJ2562767
निर्वाचक का नाम: संजना देवी
पति का नाम: चंदेश्वर खतवे
मकान संख्या: 24
उम्र: 37 वर्ष, लिंग: महिला
फोटो उपलब्ध
--------------------------------------------------
</f>
        <v/>
      </c>
      <c r="E8">
        <f>== Voter 5 ===
EPIC: PJ20753374
पिता का नाम: छुटहारू कटेव
मकान संख्या: 24
उम्र: 25 वर्ष
फोटो उपलब्ध
--------------------------------------------------
</f>
        <v/>
      </c>
      <c r="F8">
        <f>== Voter 6 ===
EPIC: PJ289065
निर्वाचक का नाम: ; नविन कुमार
पिता का नाम: जय ना aT
मकान संख्या: 24
उम्र: 49 वर्ष, लिंग: पुरुष
फोटो उपलब्ध
--------------------------------------------------
</f>
        <v/>
      </c>
      <c r="G8">
        <f>== Voter 7 ===
EPIC: SPJ0590240
निर्वाचक का नाम: बुद्धनारायन कुमार राम प्रति का नाम राज़ेश गुप्ता
पति का नाम: खटर यादव
मकान संख्या: 24 फ़ोटो उपलब्ध मकान संख्या ; 25
उम्र: 38 वर्ष, लिंग: महिला
फोटो उपलब्ध
--------------------------------------------------
</f>
        <v/>
      </c>
      <c r="H8">
        <f>== Voter 8 ===
EPIC: SPJ2562643
निर्वाचक का नाम: प्रभु यादव
पिता का नाम: चिनीलाल यादव
मकान संख्या: 25
उम्र: 32 वर्ष, लिंग: पुरुष
फोटो उपलब्ध
--------------------------------------------------
</f>
        <v/>
      </c>
      <c r="I8">
        <f>== Voter 9 ===
EPIC: SPJ0263938
पति का नाम: रघु खतवे
मकान संख्या: 25
उम्र: 32 वर्ष
फोटो उपलब्ध
--------------------------------------------------
</f>
        <v/>
      </c>
      <c r="J8">
        <f>== Voter 10 ===
EPIC: SPJ0032777
निर्वाचक का नाम: मीरा देवी
मकान संख्या: 25
उम्र: 39 वर्ष, लिंग: महिला
फोटो उपलब्ध
--------------------------------------------------
</f>
        <v/>
      </c>
      <c r="K8">
        <f>== Voter 11 ===
EPIC: SPJ2064467
निर्वाचक का नाम: नानकी देवी
पिता का नाम: सुनील कुमार गुप्ता
मकान संख्या: 25
उम्र: 39 वर्ष, लिंग: महिला
फोटो उपलब्ध
--------------------------------------------------
</f>
        <v/>
      </c>
      <c r="L8">
        <f>== Voter 12 ===
EPIC: PJ256533
निर्वाचक का नाम: कुशमी देवी
पति का नाम: ; संतोष कुमार यादव
मकान संख्या: 26
उम्र: 39 वर्ष, लिंग: ; महिला
फोटो उपलब्ध
--------------------------------------------------
</f>
        <v/>
      </c>
      <c r="M8">
        <f>== Voter 13 ===
EPIC: SPJ0287869
निर्वाचक का नाम: रवींद्र कुमार पोद्दार निर्वाचक का नाम ; सुमित्रा देवी
पिता का नाम: बाबुलाल उरांव
मकान संख्या: 29
उम्र: 49 वर्ष
फोटो उपलब्ध
--------------------------------------------------
</f>
        <v/>
      </c>
      <c r="N8">
        <f>== Voter 14 ===
EPIC: SPJ0705806
पति का नाम: सुमित कुमार मंडल
मकान संख्या: 28
उम्र: 38 वर्ष
फोटो उपलब्ध
--------------------------------------------------
</f>
        <v/>
      </c>
      <c r="O8">
        <f>== Voter 15 ===
EPIC: PJ00372473
मकान संख्या: 30
उम्र: 30 वर्ष
फोटो उपलब्ध
--------------------------------------------------
</f>
        <v/>
      </c>
      <c r="P8">
        <f>== Voter 16 ===
EPIC: SPJ0775462
मकान संख्या: 29
उम्र: 40 वर्ष
फोटो उपलब्ध
--------------------------------------------------
</f>
        <v/>
      </c>
      <c r="Q8">
        <f>== Voter 17 ===
EPIC: SPJ2639383
मकान संख्या: 29
उम्र: 40 वर्ष
फोटो उपलब्ध
--------------------------------------------------
</f>
        <v/>
      </c>
      <c r="R8">
        <f>== Voter 18 ===
EPIC: SPJ2753358
उम्र: 29 वर्ष
--------------------------------------------------
</f>
        <v/>
      </c>
      <c r="S8">
        <f>== Voter 19 ===
EPIC: SPJ2874408
उम्र: 29 वर्ष
--------------------------------------------------
</f>
        <v/>
      </c>
      <c r="T8">
        <f>== Voter 20 ===
EPIC: SPJ0754050
पिता का नाम: सुनील कुमार गुप्ता
मकान संख्या: 37
उम्र: 29 वर्ष
फोटो उपलब्ध
--------------------------------------------------
</f>
        <v/>
      </c>
      <c r="U8">
        <f>== Voter 21 ===
EPIC: SPJI762244
मकान संख्या: 37
उम्र: 64 वर्ष, लिंग: ; महिला
फोटो उपलब्ध
--------------------------------------------------
</f>
        <v/>
      </c>
      <c r="V8">
        <f>== Voter 22 ===
EPIC: SPJ2668689
मकान संख्या: 34
उम्र: 64 वर्ष
फोटो उपलब्ध
--------------------------------------------------
</f>
        <v/>
      </c>
      <c r="W8" t="inlineStr"/>
      <c r="X8" t="inlineStr"/>
      <c r="Y8" t="inlineStr"/>
      <c r="Z8" t="inlineStr"/>
      <c r="AA8" t="inlineStr"/>
      <c r="AB8" t="inlineStr"/>
    </row>
    <row r="9">
      <c r="A9">
        <f>== Voter 1 ===
EPIC: SPJ2255305
मकान संख्या: 36
उम्र: 33 वर्ष
फोटो उपलब्ध
--------------------------------------------------
</f>
        <v/>
      </c>
      <c r="B9">
        <f>== Voter 2 ===
EPIC: SPJ2084887
मकान संख्या: 36
उम्र: 33 वर्ष
फोटो उपलब्ध
--------------------------------------------------
</f>
        <v/>
      </c>
      <c r="C9">
        <f>== Voter 3 ===
EPIC: SPJ2255297
मकान संख्या: 36
उम्र: 33 वर्ष
फोटो उपलब्ध
--------------------------------------------------
</f>
        <v/>
      </c>
      <c r="D9">
        <f>== Voter 4 ===
EPIC: SPJ2084879
मकान संख्या: 37
उम्र: 33 वर्ष
फोटो उपलब्ध
--------------------------------------------------
</f>
        <v/>
      </c>
      <c r="E9">
        <f>== Voter 5 ===
EPIC: PJ20084895
मकान संख्या: 37
उम्र: 27 वर्ष
फोटो उपलब्ध
--------------------------------------------------
</f>
        <v/>
      </c>
      <c r="F9">
        <f>== Voter 6 ===
EPIC: SPJ2844363
मकान संख्या: ; 38
उम्र: 35 वर्ष, लिंग: पुरुष
फोटो उपलब्ध
--------------------------------------------------
</f>
        <v/>
      </c>
      <c r="G9">
        <f>== Voter 7 ===
EPIC: SPJ2562684
मकान संख्या: 38
उम्र: 35 वर्ष
फोटो उपलब्ध
--------------------------------------------------
</f>
        <v/>
      </c>
      <c r="H9">
        <f>== Voter 8 ===
EPIC: SPJ2274732
मकान संख्या: 40
उम्र: 29 वर्ष
फोटो उपलब्ध
--------------------------------------------------
</f>
        <v/>
      </c>
      <c r="I9">
        <f>== Voter 9 ===
EPIC: SPJ2884849
मकान संख्या: 40
उम्र: 28 वर्ष, लिंग: पुरुष
फोटो उपलब्ध
--------------------------------------------------
</f>
        <v/>
      </c>
      <c r="J9">
        <f>== Voter 10 ===
EPIC: SPJ2753278
मकान संख्या: 39
उम्र: 28 वर्ष
फोटो उपलब्ध
--------------------------------------------------
</f>
        <v/>
      </c>
      <c r="K9">
        <f>== Voter 11 ===
EPIC: SPJ0224724
मकान संख्या: 39
उम्र: 28 वर्ष, लिंग: महिला
फोटो उपलब्ध
--------------------------------------------------
</f>
        <v/>
      </c>
      <c r="L9">
        <f>== Voter 12 ===
EPIC: PJ264074
मकान संख्या: 39
उम्र: 28 वर्ष, लिंग: महिला
फोटो उपलब्ध
--------------------------------------------------
</f>
        <v/>
      </c>
      <c r="M9">
        <f>== Voter 13 ===
EPIC: PJ256470
मकान संख्या: ; 43
उम्र: 27 वर्ष
फोटो उपलब्ध
--------------------------------------------------
</f>
        <v/>
      </c>
      <c r="N9">
        <f>== Voter 14 ===
EPIC: SPJ2567447
मकान संख्या: 45
उम्र: 27 वर्ष, लिंग: महिला
फोटो उपलब्ध
--------------------------------------------------
</f>
        <v/>
      </c>
      <c r="O9">
        <f>== Voter 15 ===
EPIC: PJ20972933
मकान संख्या: 45
उम्र: 25 वर्ष
फोटो उपलब्ध
--------------------------------------------------
</f>
        <v/>
      </c>
      <c r="P9">
        <f>== Voter 16 ===
EPIC: PJ20853844
मकान संख्या: 47
उम्र: 26 वर्ष, लिंग: महिला
फोटो उपलब्ध
--------------------------------------------------
</f>
        <v/>
      </c>
      <c r="Q9">
        <f>== Voter 17 ===
EPIC: PJ20562783
मकान संख्या: 47
उम्र: 26 वर्ष
फोटो उपलब्ध
--------------------------------------------------
</f>
        <v/>
      </c>
      <c r="R9">
        <f>== Voter 18 ===
EPIC: PJ20348332
पति का नाम: अमरेश कुमार राय
मकान संख्या: 55
उम्र: 24 वर्ष
फोटो उपलब्ध
--------------------------------------------------
</f>
        <v/>
      </c>
      <c r="S9">
        <f>== Voter 19 ===
EPIC: SPJ2564896
उम्र: 24 वर्ष
फोटो उपलब्ध
--------------------------------------------------
</f>
        <v/>
      </c>
      <c r="T9">
        <f>== Voter 20 ===
EPIC: PJ20753333
मकान संख्या: 55
उम्र: 24 वर्ष
फोटो उपलब्ध
--------------------------------------------------
</f>
        <v/>
      </c>
      <c r="U9">
        <f>== Voter 21 ===
EPIC: SPJ2753200
मकान संख्या: 55
उम्र: 24 वर्ष
फोटो उपलब्ध
--------------------------------------------------
</f>
        <v/>
      </c>
      <c r="V9">
        <f>== Voter 22 ===
EPIC: SPJ2642009
मकान संख्या: 57
उम्र: 26 वर्ष, लिंग: ! : महिला
फोटो उपलब्ध
--------------------------------------------------
</f>
        <v/>
      </c>
      <c r="W9">
        <f>== Voter 23 ===
EPIC: SPJ2639300
मकान संख्या: 56
उम्र: 23 वर्ष
फोटो उपलब्ध
--------------------------------------------------
</f>
        <v/>
      </c>
      <c r="X9" t="inlineStr"/>
      <c r="Y9" t="inlineStr"/>
      <c r="Z9" t="inlineStr"/>
      <c r="AA9" t="inlineStr"/>
      <c r="AB9" t="inlineStr"/>
    </row>
    <row r="10">
      <c r="A10">
        <f>== Voter 1 ===
EPIC: SPJ2564862
निर्वाचक का नाम: ; मनीषा देवी निर्वाचक का नाम महेश कुमार पोद्दार निर्वाचक का नाम बिलक़िस बीबी
पति का नाम: शिवनारायण पिता का नाम देव नारायण Gee प्रति का नाम सिराजुल इस्लाम
मकान संख्या: 63
उम्र: 23 वर्ष
फोटो उपलब्ध
--------------------------------------------------
</f>
        <v/>
      </c>
      <c r="B10">
        <f>== Voter 2 ===
EPIC: SPJ2878577
मकान संख्या: 63
उम्र: 23 वर्ष
फोटो उपलब्ध
--------------------------------------------------
</f>
        <v/>
      </c>
      <c r="C10">
        <f>== Voter 3 ===
EPIC: SPJ0288389
निर्वाचक का नाम: देव कुमारी देवी
पति का नाम: विजय कुमार यादव
मकान संख्या: 63
उम्र: 23 वर्ष
फोटो उपलब्ध
--------------------------------------------------
</f>
        <v/>
      </c>
      <c r="D10">
        <f>== Voter 4 ===
EPIC: SPJ2567538
पिता का नाम: बाताहू यादव
मकान संख्या: ; 65
उम्र: 23 वर्ष
फोटो उपलब्ध
--------------------------------------------------
</f>
        <v/>
      </c>
      <c r="E10">
        <f>== Voter 5 ===
EPIC: SPJ0256504
निर्वाचक का नाम: लालू सदा
पिता का नाम: शिव चरण यादव
मकान संख्या: ; 65
उम्र: 34 वर्ष, लिंग: ; पुरुष
फोटो उपलब्ध
--------------------------------------------------
</f>
        <v/>
      </c>
      <c r="F10">
        <f>== Voter 6 ===
EPIC: SPJ0264033
निर्वाचक का नाम: अंजेश कुमार मंडल
पिता का नाम: जवाहर मंडल
मकान संख्या: 65
उम्र: 34 वर्ष
फोटो उपलब्ध
--------------------------------------------------
</f>
        <v/>
      </c>
      <c r="G10">
        <f>== Voter 7 ===
EPIC: SPJ2884898
निर्वाचक का नाम: सुनील कुमार यादव
पिता का नाम: ; सुमरित यादव
मकान संख्या: 73 फ़ोटो उपलब्ध
उम्र: 34 वर्ष
--------------------------------------------------
</f>
        <v/>
      </c>
      <c r="H10">
        <f>== Voter 8 ===
EPIC: SPJ2874440
निर्वाचक का नाम: इसरत
पति का नाम: मोहम्मद रिज़वान
मकान संख्या: ; 069
उम्र: 34 वर्ष, लिंग: महिला
फोटो उपलब्ध
--------------------------------------------------
</f>
        <v/>
      </c>
      <c r="I10">
        <f>== Voter 9 ===
EPIC: SPJ2889434
मकान संख्या: ; 069
फोटो उपलब्ध
--------------------------------------------------
</f>
        <v/>
      </c>
      <c r="J10">
        <f>== Voter 10 ===
EPIC: SPJ2753408
निर्वाचक का नाम: सोनी देवी
पिता का नाम: निर्मल यादव
मकान संख्या: 74
उम्र: 29 वर्ष, लिंग: महिला
फोटो उपलब्ध
--------------------------------------------------
</f>
        <v/>
      </c>
      <c r="K10">
        <f>== Voter 11 ===
EPIC: SPJ2353555
निर्वाचक का नाम: जयनाथ कुमार राय
पिता का नाम: भागवत राय
मकान संख्या: 74
उम्र: 33 वर्ष, लिंग: पुरुष
फोटो उपलब्ध
--------------------------------------------------
</f>
        <v/>
      </c>
      <c r="L10">
        <f>== Voter 12 ===
EPIC: SPJ2639276
निर्वाचक का नाम: पप्पू कुमार राय
पिता का नाम: परमानंद राय
मकान संख्या: 74
उम्र: 33 वर्ष, लिंग: पुरुष
फोटो उपलब्ध
--------------------------------------------------
</f>
        <v/>
      </c>
      <c r="M10">
        <f>== Voter 13 ===
EPIC: SPJ2753283
निर्वाचक का नाम: fetes कुमार राय
पिता का नाम: रामचन्द्र राय
मकान संख्या: 74
उम्र: 33 वर्ष, लिंग: पुरुष
फोटो उपलब्ध
--------------------------------------------------
</f>
        <v/>
      </c>
      <c r="N10">
        <f>== Voter 14 ===
EPIC: SPJ0256252
निर्वाचक का नाम: बीना देवी
पिता का नाम: निर्मल यादव
मकान संख्या: 74
उम्र: 33 वर्ष, लिंग: महिला
फोटो उपलब्ध
--------------------------------------------------
</f>
        <v/>
      </c>
      <c r="O10">
        <f>== Voter 15 ===
EPIC: PJ256322
निर्वाचक का नाम: दीपा देवी
पिता का नाम: सतेन्द्र यादव
उम्र: 23 वर्ष, लिंग: महिला
--------------------------------------------------
</f>
        <v/>
      </c>
      <c r="P10">
        <f>== Voter 16 ===
EPIC: SPJ0264708
निर्वाचक का नाम: अनिल कुमार यादव
पिता का नाम: रजीब यादव
मकान संख्या: 84
उम्र: 29 वर्ष, लिंग: पुरुष
फोटो उपलब्ध
--------------------------------------------------
</f>
        <v/>
      </c>
      <c r="Q10">
        <f>== Voter 17 ===
EPIC: PU20878437
निर्वाचक का नाम: ; गुरुदेव राय
पिता का नाम: भागवत राय
मकान संख्या: 84
उम्र: 20 वर्ष, लिंग: ; पुरुष
फोटो उपलब्ध
--------------------------------------------------
</f>
        <v/>
      </c>
      <c r="R10">
        <f>== Voter 18 ===
EPIC: PJ256280
निर्वाचक का नाम: मनोज कुमार राय निर्वाचक का नाम ; संजीता देवी
पिता का नाम: राम कुमार राय प्रति का नाम गुरुदेव राय
मकान संख्या: 79
उम्र: 20 वर्ष
फोटो उपलब्ध
--------------------------------------------------
</f>
        <v/>
      </c>
      <c r="S10">
        <f>== Voter 19 ===
EPIC: SPJ2639284
मकान संख्या: B
उम्र: 24 वर्ष, लिंग: पुरुष
फोटो उपलब्ध
--------------------------------------------------
</f>
        <v/>
      </c>
      <c r="T10">
        <f>== Voter 20 ===
EPIC: SPJ0264996
पति का नाम: हेवन कुमार यादव
मकान संख्या: B
उम्र: 24 वर्ष
फोटो उपलब्ध
--------------------------------------------------
</f>
        <v/>
      </c>
      <c r="U10">
        <f>== Voter 21 ===
EPIC: SPJ2564268
उम्र: 24 वर्ष
--------------------------------------------------
</f>
        <v/>
      </c>
      <c r="V10">
        <f>== Voter 22 ===
EPIC: SPJ0264090
मकान संख्या: 85
उम्र: 47 वर्ष
फोटो उपलब्ध
--------------------------------------------------
</f>
        <v/>
      </c>
      <c r="W10">
        <f>== Voter 23 ===
EPIC: SPJ2647724
मकान संख्या: 85
उम्र: 47 वर्ष
फोटो उपलब्ध
--------------------------------------------------
</f>
        <v/>
      </c>
      <c r="X10">
        <f>== Voter 24 ===
EPIC: SPJ2564250
मकान संख्या: 85
उम्र: 23 वर्ष, लिंग: पुरुष
फोटो उपलब्ध
--------------------------------------------------
</f>
        <v/>
      </c>
      <c r="Y10">
        <f>== Voter 25 ===
EPIC: SPJ2564276
मकान संख्या: 86
उम्र: 30 वर्ष
फोटो उपलब्ध
--------------------------------------------------
</f>
        <v/>
      </c>
      <c r="Z10">
        <f>== Voter 26 ===
EPIC: SPJ2564243
मकान संख्या: 87
उम्र: 29 वर्ष
फोटो उपलब्ध
--------------------------------------------------
</f>
        <v/>
      </c>
      <c r="AA10" t="inlineStr"/>
      <c r="AB10" t="inlineStr"/>
    </row>
    <row r="11">
      <c r="A11">
        <f>== Voter 1 ===
EPIC: SPJ0264058
निर्वाचक का नाम: सुरज कुमार निर्वाचक का नाम गीता देवी निर्वाचक का ant चंद्रदेव राय
पिता का नाम: कपिलदेव राय
मकान संख्या: 87
उम्र: 26 वर्ष
फोटो उपलब्ध
--------------------------------------------------
</f>
        <v/>
      </c>
      <c r="B11">
        <f>== Voter 2 ===
EPIC: SPJ2647066
मकान संख्या: 87
उम्र: 26 वर्ष
फोटो उपलब्ध
--------------------------------------------------
</f>
        <v/>
      </c>
      <c r="C11">
        <f>== Voter 3 ===
EPIC: SPJ0256348
निर्वाचक का नाम: धीरज कुमार यादव
पिता का नाम: कपिलदेव राय
मकान संख्या: 87
उम्र: 26 वर्ष, लिंग: पुरुष
फोटो उपलब्ध
--------------------------------------------------
</f>
        <v/>
      </c>
      <c r="D11">
        <f>== Voter 4 ===
EPIC: SPJ2304327
निर्वाचक का नाम: आरती कुमारी
पिता का नाम: इंद्रदेव यादव
मकान संख्या: ; 88
उम्र: 26 वर्ष, लिंग: महिला
फोटो उपलब्ध
--------------------------------------------------
</f>
        <v/>
      </c>
      <c r="E11">
        <f>== Voter 5 ===
EPIC: PJ20753292
निर्वाचक का नाम: राम विलास
पति का नाम: धीरज कुमार यादव
मकान संख्या: ; 88
उम्र: 27 वर्ष, लिंग: पुरुष
फोटो उपलब्ध
--------------------------------------------------
</f>
        <v/>
      </c>
      <c r="F11">
        <f>== Voter 6 ===
EPIC: SPJ2753259
निर्वाचक का नाम: सुशील कुमार यादव
पिता का नाम: देवनारायण यादव
मकान संख्या: 87
उम्र: 37 वर्ष, लिंग: महिला
फोटो उपलब्ध
--------------------------------------------------
</f>
        <v/>
      </c>
      <c r="G11">
        <f>== Voter 7 ===
EPIC: SPJ2496073
मकान संख्या: 92
उम्र: 26 वर्ष
फोटो उपलब्ध
--------------------------------------------------
</f>
        <v/>
      </c>
      <c r="H11">
        <f>== Voter 8 ===
EPIC: SPJ2564904
निर्वाचक का नाम: प्रियांशु कुमार
पिता का नाम: ज्ञानचंद मंडल
मकान संख्या: 99
उम्र: 25 वर्ष, लिंग: पुरुष
फोटो उपलब्ध
--------------------------------------------------
</f>
        <v/>
      </c>
      <c r="I11">
        <f>== Voter 9 ===
EPIC: SPJ2564847
निर्वाचक का नाम: निशा कुमारी
पिता का नाम: दीपनारायण ऋषिदेव
मकान संख्या: 94
उम्र: 32 वर्ष, लिंग: महिला
फोटो उपलब्ध
--------------------------------------------------
</f>
        <v/>
      </c>
      <c r="J11">
        <f>== Voter 10 ===
EPIC: SPJ2877207
निर्वाचक का नाम: शिवशंकर भारती
पिता का नाम: ज्ञानचंद मंडल
मकान संख्या: 94
उम्र: 32 वर्ष, लिंग: पुरुष
फोटो उपलब्ध
--------------------------------------------------
</f>
        <v/>
      </c>
      <c r="K11">
        <f>== Voter 11 ===
EPIC: PJ300442
पिता का नाम: ज्ञानचंद मंडल
मकान संख्या: 94
उम्र: 32 वर्ष, लिंग: महिला
फोटो उपलब्ध
--------------------------------------------------
</f>
        <v/>
      </c>
      <c r="L11">
        <f>== Voter 12 ===
EPIC: SPJ2877769
निर्वाचक का नाम: रामप्रवेश कुमार मेहता
पिता का नाम: सीताराम मेहता
मकान संख्या: 7245 फ़ोटो उपलब्ध
उम्र: 23 वर्ष, लिंग: पुरुष
फोटो उपलब्ध
--------------------------------------------------
</f>
        <v/>
      </c>
      <c r="M11">
        <f>== Voter 13 ===
EPIC: SPJ2890770
निर्वाचक का नाम: मोहम्मद अब्दुल्लाह
पिता का नाम: मोहम्मद कलीमुद्दीन
मकान संख्या: एट कुस्मौल वार्ड नं 0
उम्र: 79 वर्ष, लिंग: पुरुष
फोटो उपलब्ध
--------------------------------------------------
</f>
        <v/>
      </c>
      <c r="N11">
        <f>== Voter 14 ===
EPIC: SPJ0296582
निर्वाचक का नाम: रुमुकला मुखिया
पिता का नाम: ईनुल खान
मकान संख्या: एट कुस्मौल वार्ड नं 0
उम्र: 79 वर्ष, लिंग: ! : महिला
फोटो उपलब्ध
--------------------------------------------------
</f>
        <v/>
      </c>
      <c r="O11">
        <f>== Voter 15 ===
EPIC: SPJ2965804
निर्वाचक का नाम: रुना कुमारी
पिता का नाम: मनोरी मुखिया
मकान संख्या: 7245
उम्र: 22 वर्ष, लिंग: महिला
फोटो उपलब्ध
--------------------------------------------------
</f>
        <v/>
      </c>
      <c r="P11">
        <f>== Voter 16 ===
EPIC: PJ20878502
मकान संख्या: बस्मातिया
उम्र: 22 वर्ष
फोटो उपलब्ध
--------------------------------------------------
</f>
        <v/>
      </c>
      <c r="Q11">
        <f>== Voter 17 ===
EPIC: SPJ0290042
निर्वाचक का नाम: ; नीरज कुमार
मकान संख्या: बस्मातिया
उम्र: 26 वर्ष, लिंग: ; पुरुष
फोटो उपलब्ध
--------------------------------------------------
</f>
        <v/>
      </c>
      <c r="R11">
        <f>== Voter 18 ===
EPIC: SPJ2877082
निर्वाचक का नाम: आशा देदी निर्वाचक का नाम ; बबिता देवी देवी
पति का नाम: मनोज यादव प्रति का नाम सोनू कुमार
उम्र: 26 वर्ष
--------------------------------------------------
</f>
        <v/>
      </c>
      <c r="S11">
        <f>== Voter 19 ===
EPIC: SPJ2879922
उम्र: 26 वर्ष
--------------------------------------------------
</f>
        <v/>
      </c>
      <c r="T11">
        <f>== Voter 20 ===
EPIC: SPJ2885069
मकान संख्या: गोखलापुर
उम्र: 27 वर्ष, लिंग: महिला
फोटो उपलब्ध
--------------------------------------------------
</f>
        <v/>
      </c>
      <c r="U11">
        <f>== Voter 21 ===
EPIC: SPU0288483
मकान संख्या: कोचगामा वार्ड नं 70
उम्र: 38 वर्ष
फोटो उपलब्ध
--------------------------------------------------
</f>
        <v/>
      </c>
      <c r="V11">
        <f>== Voter 22 ===
EPIC: SPJ2878924
मकान संख्या: गोख्लापूर
फोटो उपलब्ध
--------------------------------------------------
</f>
        <v/>
      </c>
      <c r="W11">
        <f>== Voter 23 ===
EPIC: SPJ2884955
मकान संख्या: गोख्लापूर
फोटो उपलब्ध
--------------------------------------------------
</f>
        <v/>
      </c>
      <c r="X11">
        <f>== Voter 24 ===
EPIC: SPJ2878890
मकान संख्या: गोख्लापूर
उम्र: 20 वर्ष
फोटो उपलब्ध
--------------------------------------------------
</f>
        <v/>
      </c>
      <c r="Y11">
        <f>== Voter 25 ===
EPIC: SPJ0287695
उम्र: 20 वर्ष
फोटो उपलब्ध
--------------------------------------------------
</f>
        <v/>
      </c>
      <c r="Z11" t="inlineStr"/>
      <c r="AA11" t="inlineStr"/>
      <c r="AB11" t="inlineStr"/>
    </row>
    <row r="12">
      <c r="A12">
        <f>== Voter 1 ===
EPIC: SPJ0287847
निर्वाचक का नाम: मंदी कुमारी
पिता का नाम: मोहम्मद जुमन सफी
मकान संख्या: ; एस/ओं,निर्धन यादव,मिरदौल वार्ड न॑.
उम्र: 20 वर्ष, लिंग: महिला
फोटो उपलब्ध
--------------------------------------------------
</f>
        <v/>
      </c>
      <c r="B12">
        <f>== Voter 2 ===
EPIC: SPJ2996763
--------------------------------------------------
</f>
        <v/>
      </c>
      <c r="C12">
        <f>== Voter 3 ===
EPIC: SPJ2879807
निर्वाचक का नाम: रवींद्र कुमार यादव
पिता का नाम: निर्धन यादव गोपालन
--------------------------------------------------
</f>
        <v/>
      </c>
      <c r="D12">
        <f>== Voter 4 ===
EPIC: SPJ2878460
पिता का नाम: मोहम्मद जुमन सफी
मकान संख्या: ; एस/ओं,निर्धन यादव,मिरदौल वार्ड न॑.
उम्र: 37 वर्ष, लिंग: ; पुरुष
फोटो उपलब्ध
--------------------------------------------------
</f>
        <v/>
      </c>
      <c r="E12">
        <f>== Voter 5 ===
EPIC: SPJ2882504
निर्वाचक का नाम: नेहा कुमारी
पति का नाम: राजहंस कुमार
मकान संख्या: ; एस/ओं,निर्धन यादव,मिरदौल वार्ड न॑.
उम्र: 37 वर्ष, लिंग: महिला
फोटो उपलब्ध
--------------------------------------------------
</f>
        <v/>
      </c>
      <c r="F12">
        <f>== Voter 6 ===
EPIC: SPJ2878940
निर्वाचक का नाम: मुस्तकीम
पिता का नाम: अनवर
मकान संख्या: एस/ओ मोहम्मद जुमन शफ़ी वार्ड
उम्र: 28 वर्ष, लिंग: महिला
फोटो उपलब्ध
--------------------------------------------------
</f>
        <v/>
      </c>
      <c r="G12">
        <f>== Voter 7 ===
EPIC: SPJ2876852
निर्वाचक का नाम: ; सावन कुमार सिंह सिंह
पिता का नाम: मोहम्मद सहाबीर
उम्र: 28 वर्ष, लिंग: पुरुष
--------------------------------------------------
</f>
        <v/>
      </c>
      <c r="H12">
        <f>== Voter 8 ===
EPIC: SPJ0309048
निर्वाचक का नाम: शुशीला देवी
पति का नाम: झरका कुमार
उम्र: 28 वर्ष, लिंग: महिला
फोटो उपलब्ध
--------------------------------------------------
</f>
        <v/>
      </c>
      <c r="I12">
        <f>== Voter 9 ===
EPIC: SPJ0309253
निर्वाचक का नाम: विकाश कुमार शर्मा
पिता का नाम: सत्य नारायण शर्मा
मकान संख्या: वार्ड -09
उम्र: 24 वर्ष, लिंग: पुरुष
फोटो उपलब्ध
--------------------------------------------------
</f>
        <v/>
      </c>
      <c r="J12">
        <f>== Voter 10 ===
EPIC: SPJ2900447
निर्वाचक का नाम: गौरी कुमारी
पति का नाम: दुर्गा नंद यादव
मकान संख्या: वार्ड-06
उम्र: 24 वर्ष, लिंग: ; महिला
फोटो उपलब्ध
--------------------------------------------------
</f>
        <v/>
      </c>
      <c r="K12">
        <f>== Voter 11 ===
EPIC: SPJ2900470
निर्वाचक का नाम: मंजुषा देवी मंजुधा देवी
पिता का नाम: संत्यनारायण साह
मकान संख्या: वार्ड-06
उम्र: 24 वर्ष, लिंग: महिला
फोटो उपलब्ध
--------------------------------------------------
</f>
        <v/>
      </c>
      <c r="L12">
        <f>== Voter 12 ===
EPIC: PJ309772
निर्वाचक का नाम: जूली कुमारी निर्वाचक का नाम ; सजमून खातून निर्वाचक का नाम बिनीता eat
पति का नाम: पंकज कुमार पति का नाम मो नाजिम प्रति का नाम; शम्भू ऋषिदेव
मकान संख्या: वार्ड-09
उम्र: 24 वर्ष, लिंग: महिला
फोटो उपलब्ध
--------------------------------------------------
</f>
        <v/>
      </c>
      <c r="M12">
        <f>== Voter 13 ===
EPIC: SPJ2877090
निर्वाचक का नाम: ; सब्बीर आलम
पिता का नाम: प्रेमलाल भंडारी
मकान संख्या: वार्ड नं-04 फ़ोटो उपलब्ध
उम्र: 24 वर्ष, लिंग: पुरुष
फोटो उपलब्ध
--------------------------------------------------
</f>
        <v/>
      </c>
      <c r="N12">
        <f>== Voter 14 ===
EPIC: SPJ3095007
निर्वाचक का नाम: Ato जासीम
पिता का नाम: मो जमील पति का नाम मो जासीम पिता का नाम तैयब अंसारी
मकान संख्या: वार्ड नं. 02
उम्र: 20 वर्ष
फोटो उपलब्ध
--------------------------------------------------
</f>
        <v/>
      </c>
      <c r="O12">
        <f>== Voter 15 ===
EPIC: SPJ0304826
निर्वाचक का नाम: अमजद अंसारी निर्वाचक का नाम ; विभा कुमारी निर्वाचक का नाम ; सिद्दिक्रा अख़तरी
पिता का नाम: इसा अंसारी प्रति का नाम शम्भू कुमार यादव प्रति का नाम! मो नसर
मकान संख्या: वार्ड नं. 02
उम्र: 22 वर्ष
फोटो उपलब्ध
--------------------------------------------------
</f>
        <v/>
      </c>
      <c r="P12">
        <f>== Voter 16 ===
EPIC: PJ20879799
निर्वाचक का नाम: पंकज कुमार
मकान संख्या: वार्ड नं-02
उम्र: 24 वर्ष
फोटो उपलब्ध
--------------------------------------------------
</f>
        <v/>
      </c>
      <c r="Q12">
        <f>== Voter 17 ===
EPIC: PU30024809
निर्वाचक का नाम: पंकज कुमार
मकान संख्या: वार्ड 4-05
उम्र: 79 वर्ष, लिंग: ; पुरुष
फोटो उपलब्ध
--------------------------------------------------
</f>
        <v/>
      </c>
      <c r="R12">
        <f>== Voter 18 ===
EPIC: SPJ2876928
निर्वाचक का नाम: पंकज कुमार
उम्र: 35 वर्ष
फोटो उपलब्ध
--------------------------------------------------
</f>
        <v/>
      </c>
      <c r="S12">
        <f>== Voter 19 ===
EPIC: SPJ2899664
निर्वाचक का नाम: पंकज कुमार
उम्र: 24 वर्ष
फोटो उपलब्ध
--------------------------------------------------
</f>
        <v/>
      </c>
      <c r="T12">
        <f>== Voter 20 ===
EPIC: SPJ2996775
निर्वाचक का नाम: पंकज कुमार
उम्र: 24 वर्ष
फोटो उपलब्ध
--------------------------------------------------
</f>
        <v/>
      </c>
      <c r="U12">
        <f>== Voter 21 ===
EPIC: SPJ2877322
निर्वाचक का नाम: पंकज कुमार
मकान संख्या: वार्ड 4-05
उम्र: 24 वर्ष
फोटो उपलब्ध
--------------------------------------------------
</f>
        <v/>
      </c>
      <c r="V12">
        <f>== Voter 22 ===
EPIC: SPJ2877740
निर्वाचक का नाम: मो जमील
मकान संख्या: वार्ड नं 05
उम्र: 42 वर्ष
फोटो उपलब्ध
--------------------------------------------------
</f>
        <v/>
      </c>
      <c r="W12">
        <f>== Voter 23 ===
EPIC: SPJ2877280
निर्वाचक का नाम: मो जमील
मकान संख्या: वार्ड नं 05
उम्र: 27 वर्ष
फोटो उपलब्ध
--------------------------------------------------
</f>
        <v/>
      </c>
      <c r="X12">
        <f>== Voter 24 ===
EPIC: PJ30039302
निर्वाचक का नाम: मो जमील
मकान संख्या: वार्ड नं 05
उम्र: 27 वर्ष
फोटो उपलब्ध
--------------------------------------------------
</f>
        <v/>
      </c>
      <c r="Y12">
        <f>== Voter 25 ===
EPIC: PJ30033446
निर्वाचक का नाम: मो जमील
मकान संख्या: वार्ड नं 05
उम्र: 27 वर्ष
फोटो उपलब्ध
--------------------------------------------------
</f>
        <v/>
      </c>
      <c r="Z12" t="inlineStr"/>
      <c r="AA12" t="inlineStr"/>
      <c r="AB12" t="inlineStr"/>
    </row>
    <row r="13">
      <c r="A13">
        <f>== Voter 1 ===
EPIC: SPJ2877256
निर्वाचक का नाम: ; संतोष पासवान निर्वाचक का नाम कालीचरण कुमार निर्वाचक का नाम सकीना ख़ातुन
पिता का नाम: जगदीश पासवान पिता का नाम Tae खातवे अन्य मो जुब्रेल
उम्र: 24 वर्ष
फोटो उपलब्ध
--------------------------------------------------
</f>
        <v/>
      </c>
      <c r="B13">
        <f>== Voter 2 ===
EPIC: PJ20876936
पिता का नाम: जालेश्वर मंडल
उम्र: 24 वर्ष
फोटो उपलब्ध
--------------------------------------------------
</f>
        <v/>
      </c>
      <c r="C13">
        <f>== Voter 3 ===
EPIC: SPJ2878403
निर्वाचक का नाम: ज़रीना ख़ातून
पिता का नाम: जालेश्वर मंडल
मकान संख्या: ; वार्ड न॑ 07 फ़ोटो उपलब्ध
उम्र: 24 वर्ष, लिंग: महिला
फोटो उपलब्ध
--------------------------------------------------
</f>
        <v/>
      </c>
      <c r="D13">
        <f>== Voter 4 ===
EPIC: SPJ2884864
निर्वाचक का नाम: शाहनवाज़
पिता का नाम: जानाव
उम्र: 24 वर्ष
--------------------------------------------------
</f>
        <v/>
      </c>
      <c r="E13">
        <f>== Voter 5 ===
EPIC: SPJ2879377
निर्वाचक का नाम: ज्योति कुमारी
पति का नाम: राज कुमार मुखिया
मकान संख्या: वार्ड न॑ 07
उम्र: 24 वर्ष
फोटो उपलब्ध
--------------------------------------------------
</f>
        <v/>
      </c>
      <c r="F13">
        <f>== Voter 6 ===
EPIC: SPJ2882223
निर्वाचक का नाम: रीना देवी
पति का नाम: राकेश कुमार
मकान संख्या: वार्ड 4 07
उम्र: 22 वर्ष, लिंग: महिला
फोटो उपलब्ध
--------------------------------------------------
</f>
        <v/>
      </c>
      <c r="G13">
        <f>== Voter 7 ===
EPIC: SPJ2878932
मकान संख्या: वार्ड 4 07
फोटो उपलब्ध
--------------------------------------------------
</f>
        <v/>
      </c>
      <c r="H13">
        <f>== Voter 8 ===
EPIC: PJ20878478
निर्वाचक का नाम: शम्मा परवीन
पति का नाम: इमरान
मकान संख्या: वार्ड नं 0
उम्र: 29 वर्ष, लिंग: महिला
फोटो उपलब्ध
--------------------------------------------------
</f>
        <v/>
      </c>
      <c r="I13">
        <f>== Voter 9 ===
EPIC: SPJ0289790
निर्वाचक का नाम: प्रसांत कुमार
पिता का नाम: संतोष दास
मकान संख्या: वार्ड नं 0
उम्र: 28 वर्ष, लिंग: पुरुष
फोटो उपलब्ध
--------------------------------------------------
</f>
        <v/>
      </c>
      <c r="J13">
        <f>== Voter 10 ===
EPIC: SPJ0287978
निर्वाचक का नाम: काजल सिंह ऋषिदेव
पति का नाम: विशाल शुभम ऋषिदेव
मकान संख्या: वार्ड नं-09
उम्र: 22 वर्ष, लिंग: महिला
फोटो उपलब्ध
--------------------------------------------------
</f>
        <v/>
      </c>
      <c r="K13">
        <f>== Voter 11 ===
EPIC: SPJ2877363
निर्वाचक का नाम: मोहम्मद मोसीम
पिता का नाम: मोहम्मद अलीम
मकान संख्या: वार्ड नं-09
उम्र: 22 वर्ष, लिंग: पुरुष
फोटो उपलब्ध
--------------------------------------------------
</f>
        <v/>
      </c>
      <c r="L13">
        <f>== Voter 12 ===
EPIC: SPJ2887506
मकान संख्या: वार्ड नं-09
उम्र: 22 वर्ष
फोटो उपलब्ध
--------------------------------------------------
</f>
        <v/>
      </c>
      <c r="M13">
        <f>== Voter 13 ===
EPIC: SPJ2889087
निर्वाचक का नाम: नजमा
मकान संख्या: वार्ड 47 बबुआन
उम्र: 29 वर्ष, लिंग: महिला
फोटो उपलब्ध
--------------------------------------------------
</f>
        <v/>
      </c>
      <c r="N13">
        <f>== Voter 14 ===
EPIC: PJ20892297
निर्वाचक का नाम: संजय कुमार यादव
पिता का नाम: कृष्णा कुमार उराव
मकान संख्या: वार्ड 47 बबुआन
उम्र: 24 वर्ष, लिंग: पुरुष
फोटो उपलब्ध
--------------------------------------------------
</f>
        <v/>
      </c>
      <c r="O13">
        <f>== Voter 15 ===
EPIC: SPJ2878999
निर्वाचक का नाम: संजय कुमार यादव
पिता का नाम: सुगानंद मेहतों
मकान संख्या: वार्ड 47 बबुआन
उम्र: 24 वर्ष, लिंग: पुरुष
फोटो उपलब्ध
--------------------------------------------------
</f>
        <v/>
      </c>
      <c r="P13">
        <f>== Voter 16 ===
EPIC: SPJ0287796
मकान संख्या: वार्ड न॑ 3
उम्र: 23 वर्ष
फोटो उपलब्ध
--------------------------------------------------
</f>
        <v/>
      </c>
      <c r="Q13">
        <f>== Voter 17 ===
EPIC: SPJ0289786
मकान संख्या: वार्ड न॑ 3
उम्र: 23 वर्ष
फोटो उपलब्ध
--------------------------------------------------
</f>
        <v/>
      </c>
      <c r="R13">
        <f>== Voter 18 ===
EPIC: SPJ2885044
मकान संख्या: वार्ड न॑ 3
उम्र: 23 वर्ष
फोटो उपलब्ध
--------------------------------------------------
</f>
        <v/>
      </c>
      <c r="S13">
        <f>== Voter 19 ===
EPIC: SPJ2878288
उम्र: 28 वर्ष
--------------------------------------------------
</f>
        <v/>
      </c>
      <c r="T13">
        <f>== Voter 20 ===
EPIC: SPJ2897794
उम्र: 28 वर्ष
--------------------------------------------------
</f>
        <v/>
      </c>
      <c r="U13">
        <f>== Voter 21 ===
EPIC: SPJ2880607
निर्वाचक का नाम: योगेंद्र यादव योगेंद्र यादव
पिता का नाम: योगेंद्र यादव योगेंद्र यादव
उम्र: 27 वर्ष, लिंग: महिला
फोटो उपलब्ध
--------------------------------------------------
</f>
        <v/>
      </c>
      <c r="V13">
        <f>== Voter 22 ===
EPIC: SPJ0286498
मकान संख्या: वार्डनंबर 6
उम्र: 23 वर्ष
फोटो उपलब्ध
--------------------------------------------------
</f>
        <v/>
      </c>
      <c r="W13" t="inlineStr"/>
      <c r="X13" t="inlineStr"/>
      <c r="Y13" t="inlineStr"/>
      <c r="Z13" t="inlineStr"/>
      <c r="AA13" t="inlineStr"/>
      <c r="AB13" t="inlineStr"/>
    </row>
    <row r="14">
      <c r="A14">
        <f>== Voter 1 ===
EPIC: SPJ2450370
निर्वाचक का नाम: विजय प्रसाद साह
पति का नाम: विजय प्रसाद साह प्रति का नाम प्रधान यादव
मकान संख्या: 0
उम्र: 65 वर्ष
फोटो उपलब्ध
--------------------------------------------------
</f>
        <v/>
      </c>
      <c r="B14">
        <f>== Voter 2 ===
EPIC: SPJ0238269
मकान संख्या: 0
उम्र: 65 वर्ष
फोटो उपलब्ध
--------------------------------------------------
</f>
        <v/>
      </c>
      <c r="C14">
        <f>== Voter 3 ===
EPIC: PJ20378202
निर्वाचक का नाम: संजू देवी
पति का नाम: ; रोशन यादव
मकान संख्या: 0
उम्र: 65 वर्ष, लिंग: महिला
फोटो उपलब्ध
--------------------------------------------------
</f>
        <v/>
      </c>
      <c r="D14">
        <f>== Voter 4 ===
EPIC: SPJ2375950
निर्वाचक का नाम: रेखा देवी
पिता का नाम: श्री लाल यादव
उम्र: 65 वर्ष, लिंग: पुरुष
--------------------------------------------------
</f>
        <v/>
      </c>
      <c r="E14">
        <f>== Voter 5 ===
EPIC: SPJ0233757
निर्वाचक का नाम: चंदन कुमार चोपाल
पिता का नाम: Tesh खात्वे
मकान संख्या: 0
उम्र: 28 वर्ष, लिंग: पुरुष
फोटो उपलब्ध
--------------------------------------------------
</f>
        <v/>
      </c>
      <c r="F14">
        <f>== Voter 6 ===
EPIC: PJ233955
निर्वाचक का नाम: प्रवीन कुमार यादव
पिता का नाम: गजेन्द्र यादव
मकान संख्या: 0
उम्र: 32 वर्ष, लिंग: पुरुष
फोटो उपलब्ध
--------------------------------------------------
</f>
        <v/>
      </c>
      <c r="G14">
        <f>== Voter 7 ===
EPIC: SPJ0225542
निर्वाचक का नाम: ममता alee
पिता का नाम: कुसुमलालयादव पति का नाम विद्यानंद यादव पिता करा नाम कुसूमलाल
मकान संख्या: 0
उम्र: 32 वर्ष, लिंग: महिला
फोटो उपलब्ध
--------------------------------------------------
</f>
        <v/>
      </c>
      <c r="H14">
        <f>== Voter 8 ===
EPIC: SPJ2374227
निर्वाचक का नाम: भारती देवी
पिता का नाम: देव नारायण सदा
मकान संख्या: 0
उम्र: 24 वर्ष, लिंग: पुरुष
फोटो उपलब्ध
--------------------------------------------------
</f>
        <v/>
      </c>
      <c r="I14">
        <f>== Voter 9 ===
EPIC: SPJ2735325
निर्वाचक का नाम: कंचन देवी
पिता का नाम: अवधी यादव
मकान संख्या: 0
उम्र: 29 वर्ष, लिंग: पुरुष
फोटो उपलब्ध
--------------------------------------------------
</f>
        <v/>
      </c>
      <c r="J14">
        <f>== Voter 10 ===
EPIC: MFV2564698
निर्वाचक का नाम: कुसुमलालयादव
पिता का नाम: देव नारायण सदा
मकान संख्या: 3
उम्र: 29 वर्ष, लिंग: महिला
फोटो उपलब्ध
--------------------------------------------------
</f>
        <v/>
      </c>
      <c r="K14">
        <f>== Voter 11 ===
EPIC: SPJ0796502
निर्वाचक का नाम: विमला देवी
पति का नाम: राम प्रकाश यादव
मकान संख्या: ; 3
उम्र: 43 वर्ष, लिंग: महिला
फोटो उपलब्ध
--------------------------------------------------
</f>
        <v/>
      </c>
      <c r="L14">
        <f>== Voter 12 ===
EPIC: PJ206393
निर्वाचक का नाम: ; सत्यनारायण यादव
पिता का नाम: अवधि यादव
मकान संख्या: ; 3
उम्र: 43 वर्ष, लिंग: पुरुष
फोटो उपलब्ध
--------------------------------------------------
</f>
        <v/>
      </c>
      <c r="M14">
        <f>== Voter 13 ===
EPIC: SPJ2063923
निर्वाचक का नाम: शांति देवी
पिता का नाम: सुदीमलाल
मकान संख्या: + 3
उम्र: 35 वर्ष, लिंग: महिला
फोटो उपलब्ध
--------------------------------------------------
</f>
        <v/>
      </c>
      <c r="N14">
        <f>== Voter 14 ===
EPIC: MFV2563757
निर्वाचक का नाम: लीला देवी
पति का नाम: कपिलादेवयादव
मकान संख्या: + 3
उम्र: 35 वर्ष, लिंग: महिला
फोटो उपलब्ध
--------------------------------------------------
</f>
        <v/>
      </c>
      <c r="O14">
        <f>== Voter 15 ===
EPIC: SPJ0206395
निर्वाचक का नाम: ; रमेश कुमार निर्वाचक का नाम ; रमेश कुमार
पिता का नाम: परशुराम यादव पिता का ATT परशुराम यादव
मकान संख्या: 3
उम्र: 48 वर्ष, लिंग: महिला
फोटो उपलब्ध
--------------------------------------------------
</f>
        <v/>
      </c>
      <c r="P14">
        <f>== Voter 16 ===
EPIC: PJ965744
निर्वाचक का नाम: देवराम यादव
पिता का नाम: सुदीमलाल
मकान संख्या: 4
उम्र: 52 वर्ष, लिंग: महिला
फोटो उपलब्ध
--------------------------------------------------
</f>
        <v/>
      </c>
      <c r="Q14">
        <f>== Voter 17 ===
EPIC: SPJI965736
मकान संख्या: 4
उम्र: 48 वर्ष
फोटो उपलब्ध
--------------------------------------------------
</f>
        <v/>
      </c>
      <c r="R14">
        <f>== Voter 18 ===
EPIC: SPJ0442509
मकान संख्या: 4
उम्र: 52 वर्ष
फोटो उपलब्ध
--------------------------------------------------
</f>
        <v/>
      </c>
      <c r="S14">
        <f>== Voter 19 ===
EPIC: MFV0098307
मकान संख्या: 4
उम्र: 52 वर्ष
फोटो उपलब्ध
--------------------------------------------------
</f>
        <v/>
      </c>
      <c r="T14">
        <f>== Voter 20 ===
EPIC: MFV0038505
पिता का नाम: का सुदीम लाल पांडे
मकान संख्या: 4
उम्र: 52 वर्ष
फोटो उपलब्ध
--------------------------------------------------
</f>
        <v/>
      </c>
      <c r="U14">
        <f>== Voter 21 ===
EPIC: MFV0026237
उम्र: 34 वर्ष
--------------------------------------------------
</f>
        <v/>
      </c>
      <c r="V14">
        <f>== Voter 22 ===
EPIC: SPJ7858547
पति का नाम: परशुराम यादव
मकान संख्या: 5
उम्र: 34 वर्ष
फोटो उपलब्ध
--------------------------------------------------
</f>
        <v/>
      </c>
      <c r="W14">
        <f>== Voter 23 ===
EPIC: SPJ2863637
मकान संख्या: 5
फोटो उपलब्ध
--------------------------------------------------
</f>
        <v/>
      </c>
      <c r="X14">
        <f>== Voter 24 ===
EPIC: SPJ2927648
निर्वाचक का नाम: परशुराम यादव
मकान संख्या: 5
फोटो उपलब्ध
--------------------------------------------------
</f>
        <v/>
      </c>
      <c r="Y14">
        <f>== Voter 25 ===
EPIC: MFV0097296
निर्वाचक का नाम: परशुराम यादव
मकान संख्या: ; 5 फ़ोटो उपलब्ध मकान संख्या : 5
फोटो उपलब्ध
--------------------------------------------------
</f>
        <v/>
      </c>
      <c r="Z14" t="inlineStr"/>
      <c r="AA14" t="inlineStr"/>
      <c r="AB14" t="inlineStr"/>
    </row>
    <row r="15">
      <c r="A15">
        <f>== Voter 1 ===
EPIC: SPJ2063956
निर्वाचक का नाम: ; मो रचिया देवी
पति का नाम: स्व मदाय यादव पति का नाम सिकिया सदा पिता का नाम छुतहरू यादव
मकान संख्या: 6
उम्र: 87 वर्ष
फोटो उपलब्ध
--------------------------------------------------
</f>
        <v/>
      </c>
      <c r="B15">
        <f>== Voter 2 ===
EPIC: SPJ0796569
मकान संख्या: 6
उम्र: 87 वर्ष
फोटो उपलब्ध
--------------------------------------------------
</f>
        <v/>
      </c>
      <c r="C15">
        <f>== Voter 3 ===
EPIC: SPJ7595636
निर्वाचक का नाम: परशुराम यादव
पिता का नाम: छुतहरू यादव
मकान संख्या: ; 6 = उपलब्ध
उम्र: 87 वर्ष, लिंग: पुरुष
--------------------------------------------------
</f>
        <v/>
      </c>
      <c r="D15">
        <f>== Voter 4 ===
EPIC: MFV0500894
निर्वाचक का नाम: किनु ठाकुर
पिता का नाम: छुतहरू यादव
मकान संख्या: 7 फ़ोटो उपलब्ध
उम्र: 87 वर्ष, लिंग: पुरुष
--------------------------------------------------
</f>
        <v/>
      </c>
      <c r="E15">
        <f>== Voter 5 ===
EPIC: MFV0095984
निर्वाचक का नाम: चंद्र देवी
पिता का नाम: धर्मी ठाकुर
मकान संख्या: ; 6
उम्र: 69 वर्ष, लिंग: पुरुष
फोटो उपलब्ध
--------------------------------------------------
</f>
        <v/>
      </c>
      <c r="F15">
        <f>== Voter 6 ===
EPIC: SPJ7858554
निर्वाचक का नाम: टुनो ठाकुर
पिता का नाम: wel ठाकुर
उम्र: 69 वर्ष, लिंग: पुरुष
--------------------------------------------------
</f>
        <v/>
      </c>
      <c r="G15">
        <f>== Voter 7 ===
EPIC: SPJ7965285
मकान संख्या: 7
उम्र: 69 वर्ष
फोटो उपलब्ध
--------------------------------------------------
</f>
        <v/>
      </c>
      <c r="H15">
        <f>== Voter 8 ===
EPIC: SPJ2928695
निर्वाचक का नाम: अमित कुमार राय
पिता का नाम: अशोक राय
मकान संख्या: 7
उम्र: 62 वर्ष, लिंग: पुरुष
फोटो उपलब्ध
--------------------------------------------------
</f>
        <v/>
      </c>
      <c r="I15">
        <f>== Voter 9 ===
EPIC: MFV0098988
निर्वाचक का नाम: काशिंला देवी
पति का नाम: Rese
मकान संख्या: 7
उम्र: 56 वर्ष
फोटो उपलब्ध
--------------------------------------------------
</f>
        <v/>
      </c>
      <c r="J15">
        <f>== Voter 10 ===
EPIC: SPJ2830057
निर्वाचक का नाम: सरिता देवी
पति का नाम: संपत लाल
उम्र: 56 वर्ष, लिंग: महिला
--------------------------------------------------
</f>
        <v/>
      </c>
      <c r="K15">
        <f>== Voter 11 ===
EPIC: MFV0007360
निर्वाचक का नाम: Ata यादव
पिता का नाम: अशोक राय
मकान संख्या: ; 8
उम्र: 56 वर्ष, लिंग: पुरुष
फोटो उपलब्ध
--------------------------------------------------
</f>
        <v/>
      </c>
      <c r="L15">
        <f>== Voter 12 ===
EPIC: MFV0097386
निर्वाचक का नाम: विनोद कुमार यादव
पिता का नाम: सिदेश्वर यादव
मकान संख्या: 07
उम्र: 20 वर्ष, लिंग: पुरुष
फोटो उपलब्ध
--------------------------------------------------
</f>
        <v/>
      </c>
      <c r="M15">
        <f>== Voter 13 ===
EPIC: MFV5009857
निर्वाचक का नाम: बुधेश्वर यादव
पिता का नाम: करमु यादव
मकान संख्या: 8
उम्र: 48 वर्ष, लिंग: ! : पुरुष
फोटो उपलब्ध
--------------------------------------------------
</f>
        <v/>
      </c>
      <c r="N15">
        <f>== Voter 14 ===
EPIC: SPJ0590265
निर्वाचक का नाम: कमली देवी
पति का नाम: राजेन्द
मकान संख्या: 8
उम्र: 62 वर्ष
फोटो उपलब्ध
--------------------------------------------------
</f>
        <v/>
      </c>
      <c r="O15">
        <f>== Voter 15 ===
EPIC: MFV2563484
मकान संख्या: 8
फोटो उपलब्ध
--------------------------------------------------
</f>
        <v/>
      </c>
      <c r="P15">
        <f>== Voter 16 ===
EPIC: PJ70858562
निर्वाचक का नाम: प्रधान यादव
पिता का नाम: पगला यादव
मकान संख्या: 8
उम्र: 64 वर्ष, लिंग: ; पुरुष
फोटो उपलब्ध
--------------------------------------------------
</f>
        <v/>
      </c>
      <c r="Q15">
        <f>== Voter 17 ===
EPIC: PJ00797084
निर्वाचक का नाम: ; संगीता देवी
पिता का नाम: हीरा लाल यादव
मकान संख्या: 8
उम्र: 45 वर्ष, लिंग: ; महिला
फोटो उपलब्ध
--------------------------------------------------
</f>
        <v/>
      </c>
      <c r="R15">
        <f>== Voter 18 ===
EPIC: SPJ0442590
मकान संख्या: 8
उम्र: 45 वर्ष
फोटो उपलब्ध
--------------------------------------------------
</f>
        <v/>
      </c>
      <c r="S15">
        <f>== Voter 19 ===
EPIC: MFV5008503
मकान संख्या: 9
उम्र: 60 वर्ष
फोटो उपलब्ध
--------------------------------------------------
</f>
        <v/>
      </c>
      <c r="T15">
        <f>== Voter 20 ===
EPIC: MFV2562205
मकान संख्या: 9
फोटो उपलब्ध
--------------------------------------------------
</f>
        <v/>
      </c>
      <c r="U15">
        <f>== Voter 21 ===
EPIC: MFV5009394
--------------------------------------------------
</f>
        <v/>
      </c>
      <c r="V15">
        <f>== Voter 22 ===
EPIC: SPJ2279875
मकान संख्या: 70
उम्र: 58 वर्ष
फोटो उपलब्ध
--------------------------------------------------
</f>
        <v/>
      </c>
      <c r="W15" t="inlineStr"/>
      <c r="X15" t="inlineStr"/>
      <c r="Y15" t="inlineStr"/>
      <c r="Z15" t="inlineStr"/>
      <c r="AA15" t="inlineStr"/>
      <c r="AB15" t="inlineStr"/>
    </row>
    <row r="16">
      <c r="A16">
        <f>== Voter 1 ===
EPIC: MFV5008487
निर्वाचक का नाम: ; सावित्री देवी
पति का नाम: रामानंद मालाकार पिता का are हंन्स नारायण झा पति का नाम कृष्णानंद झा
मकान संख्या: 70
उम्र: 47 वर्ष
फोटो उपलब्ध
--------------------------------------------------
</f>
        <v/>
      </c>
      <c r="B16">
        <f>== Voter 2 ===
EPIC: PJ20279859
पति का नाम: आन॑द कुमार मालाकार
मकान संख्या: 70
उम्र: 47 वर्ष
फोटो उपलब्ध
--------------------------------------------------
</f>
        <v/>
      </c>
      <c r="C16">
        <f>== Voter 3 ===
EPIC: SPJ0249664
निर्वाचक का नाम: नितीश कुमार मेहता
पिता का नाम: राजा मेहता
मकान संख्या: 70
उम्र: 47 वर्ष, लिंग: पुरुष
फोटो उपलब्ध
--------------------------------------------------
</f>
        <v/>
      </c>
      <c r="D16">
        <f>== Voter 4 ===
EPIC: SPJ2297588
पति का नाम: आन॑द कुमार मालाकार
मकान संख्या: 70
उम्र: 47 वर्ष, लिंग: महिला
फोटो उपलब्ध
--------------------------------------------------
</f>
        <v/>
      </c>
      <c r="E16">
        <f>== Voter 5 ===
EPIC: SPJ2927838
निर्वाचक का नाम: रामपुजन यादव
पति का नाम: ; शंकर कुमार मालाकार
मकान संख्या: 70
उम्र: 26 वर्ष, लिंग: महिला
फोटो उपलब्ध
--------------------------------------------------
</f>
        <v/>
      </c>
      <c r="F16">
        <f>== Voter 6 ===
EPIC: SPJ2927523
निर्वाचक का नाम: कुसमी देवी
पति का नाम: मोहन यादव
मकान संख्या: 0
उम्र: 30 वर्ष, लिंग: महिला
फोटो उपलब्ध
--------------------------------------------------
</f>
        <v/>
      </c>
      <c r="G16">
        <f>== Voter 7 ===
EPIC: SPJ7965793
निर्वाचक का नाम: त्रिभुवन यादव
मकान संख्या: 4 फ़ोटो उपलब्ध
उम्र: 56 वर्ष, लिंग: पुरुष
--------------------------------------------------
</f>
        <v/>
      </c>
      <c r="H16">
        <f>== Voter 8 ===
EPIC: MFV0098020
निर्वाचक का नाम: सुनीता देवी
पति का नाम: रामपुजन
उम्र: 92 वर्ष, लिंग: महिला
--------------------------------------------------
</f>
        <v/>
      </c>
      <c r="I16">
        <f>== Voter 9 ===
EPIC: SPJ0442574
निर्वाचक का नाम: इसाक मोहम्मद अंसारी
पिता का नाम: शहीद
उम्र: 92 वर्ष, लिंग: पुरुष
--------------------------------------------------
</f>
        <v/>
      </c>
      <c r="J16">
        <f>== Voter 10 ===
EPIC: MFV0097394
निर्वाचक का नाम: देवनारायण यादव
पिता का नाम: मनुलाल यादव
मकान संख्या: 73
उम्र: 56 वर्ष, लिंग: ! : पुरुष
--------------------------------------------------
</f>
        <v/>
      </c>
      <c r="K16">
        <f>== Voter 11 ===
EPIC: MFV2563823
निर्वाचक का नाम: पुनिया देवी
पिता का नाम: मनुलाल यादव
मकान संख्या: 73 फ़ोटो उपलब्ध
उम्र: 56 वर्ष, लिंग: महिला
--------------------------------------------------
</f>
        <v/>
      </c>
      <c r="L16">
        <f>== Voter 12 ===
EPIC: MFV0256402
निर्वाचक का नाम: महेंद्र यादव
पिता का नाम: देव नारायण यादव
मकान संख्या: संख्या :
उम्र: 48 वर्ष, लिंग: महिला
फोटो उपलब्ध
--------------------------------------------------
</f>
        <v/>
      </c>
      <c r="M16">
        <f>== Voter 13 ===
EPIC: SPJ7965204
निर्वाचक का नाम: ; सुमन कुमार यादव
मकान संख्या: 77
उम्र: 54 वर्ष, लिंग: ; पुरुष
फोटो उपलब्ध
--------------------------------------------------
</f>
        <v/>
      </c>
      <c r="N16">
        <f>== Voter 14 ===
EPIC: MFV0028923
निर्वाचक का नाम: अनिता देवी निर्वाचक का नाम ; सुरेन्द्र प्रसाद यादव
पिता का नाम: जीमान अंसारी
मकान संख्या: 77
उम्र: 54 वर्ष
फोटो उपलब्ध
--------------------------------------------------
</f>
        <v/>
      </c>
      <c r="O16">
        <f>== Voter 15 ===
EPIC: MFV0009934
मकान संख्या: 2
उम्र: 52 वर्ष
फोटो उपलब्ध
--------------------------------------------------
</f>
        <v/>
      </c>
      <c r="P16">
        <f>== Voter 16 ===
EPIC: PJ736948
मकान संख्या: 2
उम्र: 52 वर्ष
फोटो उपलब्ध
--------------------------------------------------
</f>
        <v/>
      </c>
      <c r="Q16">
        <f>== Voter 17 ===
EPIC: PJ20279594
मकान संख्या: 72
उम्र: 67 वर्ष, लिंग: ! : पुरुष
फोटो उपलब्ध
--------------------------------------------------
</f>
        <v/>
      </c>
      <c r="R16">
        <f>== Voter 18 ===
EPIC: MFV0028423
उम्र: 67 वर्ष
--------------------------------------------------
</f>
        <v/>
      </c>
      <c r="S16">
        <f>== Voter 19 ===
EPIC: SPJ2477822
उम्र: 67 वर्ष
--------------------------------------------------
</f>
        <v/>
      </c>
      <c r="T16">
        <f>== Voter 20 ===
EPIC: SPJ0373668
मकान संख्या: 3
उम्र: 54 वर्ष, लिंग: महिला
फोटो उपलब्ध
--------------------------------------------------
</f>
        <v/>
      </c>
      <c r="U16">
        <f>== Voter 21 ===
EPIC: SPJ0070575
मकान संख्या: 3
उम्र: 62 वर्ष
फोटो उपलब्ध
--------------------------------------------------
</f>
        <v/>
      </c>
      <c r="V16">
        <f>== Voter 22 ===
EPIC: SPJ2735366
मकान संख्या: 3
उम्र: 48 वर्ष
फोटो उपलब्ध
--------------------------------------------------
</f>
        <v/>
      </c>
      <c r="W16">
        <f>== Voter 23 ===
EPIC: MFV5009766
मकान संख्या: ; 3
उम्र: 36 वर्ष
फोटो उपलब्ध
--------------------------------------------------
</f>
        <v/>
      </c>
      <c r="X16">
        <f>== Voter 24 ===
EPIC: SPJ0752086
निर्वाचक का नाम: बिरेन्द्र प्रसाद यादव
मकान संख्या: ; 3
उम्र: 36 वर्ष
फोटो उपलब्ध
--------------------------------------------------
</f>
        <v/>
      </c>
      <c r="Y16" t="inlineStr"/>
      <c r="Z16" t="inlineStr"/>
      <c r="AA16" t="inlineStr"/>
      <c r="AB16" t="inlineStr"/>
    </row>
    <row r="17">
      <c r="A17">
        <f>== Voter 1 ===
EPIC: PJ20735374
निर्वाचक का नाम: ललिता कुमारी यादव
पिता का नाम: नारायण यादव पति का नाम अश्विनी यादव प्रति का नाम सुमन कुमार यादव
मकान संख्या: 3
उम्र: 57 वर्ष, लिंग: पुरुष
फोटो उपलब्ध
--------------------------------------------------
</f>
        <v/>
      </c>
      <c r="B17">
        <f>== Voter 2 ===
EPIC: PJ273529
निर्वाचक का नाम: विहरी देवी
पिता का नाम: महेंद्र यादव
मकान संख्या: 3
उम्र: 36 वर्ष, लिंग: पुरुष
फोटो उपलब्ध
--------------------------------------------------
</f>
        <v/>
      </c>
      <c r="C17">
        <f>== Voter 3 ===
EPIC: SPJ2735440
निर्वाचक का नाम: मंजू देवी
पिता का नाम: fg यादव
मकान संख्या: 3
उम्र: 57 वर्ष, लिंग: पुरुष
फोटो उपलब्ध
--------------------------------------------------
</f>
        <v/>
      </c>
      <c r="D17">
        <f>== Voter 4 ===
EPIC: PJ20735283
निर्वाचक का नाम: ; रीता देवी
पति का नाम: बेचू सदा
मकान संख्या: 4
उम्र: 57 वर्ष, लिंग: महिला
फोटो उपलब्ध
--------------------------------------------------
</f>
        <v/>
      </c>
      <c r="E17">
        <f>== Voter 5 ===
EPIC: MFV0000826
निर्वाचक का नाम: मनिचंद्र उराँव
पिता का नाम: देव ना उराँव
मकान संख्या: 5 फ़ोटो उपलब्ध
उम्र: 56 वर्ष, लिंग: पुरुष
फोटो उपलब्ध
--------------------------------------------------
</f>
        <v/>
      </c>
      <c r="F17">
        <f>== Voter 6 ===
EPIC: SPJ0590273
निर्वाचक का नाम: कृष्ण कुमार
पिता का नाम: गगारा राम यादव
उम्र: 43 वर्ष, लिंग: पुरुष
--------------------------------------------------
</f>
        <v/>
      </c>
      <c r="G17">
        <f>== Voter 7 ===
EPIC: MFV0028444
निर्वाचक का नाम: कारोदेवी
पति का नाम: कृष्णा यादव
मकान संख्या: ; 74
उम्र: 48 वर्ष, लिंग: ; महिला
फोटो उपलब्ध
--------------------------------------------------
</f>
        <v/>
      </c>
      <c r="H17">
        <f>== Voter 8 ===
EPIC: PJ00373797
निर्वाचक का नाम: ; उजिशंभू यादव
पिता का नाम: रधुबीर
मकान संख्या: 4
उम्र: 44 वर्ष, लिंग: पुरुष
फोटो उपलब्ध
--------------------------------------------------
</f>
        <v/>
      </c>
      <c r="I17">
        <f>== Voter 9 ===
EPIC: SPJ0206406
निर्वाचक का नाम: ; बेचन साह
पिता का नाम: झमेली are
मकान संख्या: 4
उम्र: 44 वर्ष, लिंग: ; पुरुष
फोटो उपलब्ध
--------------------------------------------------
</f>
        <v/>
      </c>
      <c r="J17">
        <f>== Voter 10 ===
EPIC: SPJ2063964
निर्वाचक का नाम: राधा देवी
पिता का नाम: झमेली साह
मकान संख्या: 4
उम्र: 44 वर्ष, लिंग: महिला
फोटो उपलब्ध
--------------------------------------------------
</f>
        <v/>
      </c>
      <c r="K17">
        <f>== Voter 11 ===
EPIC: SPJ2064053
पति का नाम: राज कुमार सदा
मकान संख्या: 74
उम्र: 39 वर्ष
फोटो उपलब्ध
--------------------------------------------------
</f>
        <v/>
      </c>
      <c r="L17">
        <f>== Voter 12 ===
EPIC: PJ230448
पति का नाम: राज कुमार सदा
मकान संख्या: 74
उम्र: 39 वर्ष
फोटो उपलब्ध
--------------------------------------------------
</f>
        <v/>
      </c>
      <c r="M17">
        <f>== Voter 13 ===
EPIC: MFV0038729
मकान संख्या: 5
उम्र: 56 वर्ष
फोटो उपलब्ध
--------------------------------------------------
</f>
        <v/>
      </c>
      <c r="N17">
        <f>== Voter 14 ===
EPIC: SPJ0590299
मकान संख्या: 5
उम्र: 43 वर्ष
फोटो उपलब्ध
--------------------------------------------------
</f>
        <v/>
      </c>
      <c r="O17">
        <f>== Voter 15 ===
EPIC: SPJ7858570
मकान संख्या: 5
उम्र: 43 वर्ष
फोटो उपलब्ध
--------------------------------------------------
</f>
        <v/>
      </c>
      <c r="P17">
        <f>== Voter 16 ===
EPIC: SPJ0796529
मकान संख्या: 6
उम्र: 42 वर्ष, लिंग: पुरुष
फोटो उपलब्ध
--------------------------------------------------
</f>
        <v/>
      </c>
      <c r="Q17">
        <f>== Voter 17 ===
EPIC: MFV5009739
उम्र: 72 वर्ष
--------------------------------------------------
</f>
        <v/>
      </c>
      <c r="R17">
        <f>== Voter 18 ===
EPIC: MFV5008438
मकान संख्या: 6
उम्र: 42 वर्ष, लिंग: पुरुष
फोटो उपलब्ध
--------------------------------------------------
</f>
        <v/>
      </c>
      <c r="S17">
        <f>== Voter 19 ===
EPIC: MFV0029405
उम्र: 48 वर्ष
--------------------------------------------------
</f>
        <v/>
      </c>
      <c r="T17">
        <f>== Voter 20 ===
EPIC: SPJ2496727
मकान संख्या: 7
उम्र: 48 वर्ष
फोटो उपलब्ध
--------------------------------------------------
</f>
        <v/>
      </c>
      <c r="U17">
        <f>== Voter 21 ===
EPIC: SPJ7858588
मकान संख्या: 78
उम्र: 53 वर्ष
फोटो उपलब्ध
--------------------------------------------------
</f>
        <v/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>
        <f>== Voter 1 ===
EPIC: SPJ7965227
निर्वाचक का नाम: सरीता देवी
पति का नाम: नागेश्वर साह पति का नाम बेचन पिता का नाम झमेली
मकान संख्या: 78
उम्र: 50 वर्ष
फोटो उपलब्ध
--------------------------------------------------
</f>
        <v/>
      </c>
      <c r="B18">
        <f>== Voter 2 ===
EPIC: MFV0024497
मकान संख्या: 78
उम्र: 50 वर्ष
फोटो उपलब्ध
--------------------------------------------------
</f>
        <v/>
      </c>
      <c r="C18">
        <f>== Voter 3 ===
EPIC: SPJ0249689
निर्वाचक का नाम: राज कुमार साह
पिता का नाम: झमेली
मकान संख्या: ; 78
उम्र: 47 वर्ष, लिंग: महिला
फोटो उपलब्ध
--------------------------------------------------
</f>
        <v/>
      </c>
      <c r="D18">
        <f>== Voter 4 ===
EPIC: SPJ0072296
निर्वाचक का नाम: दिनेश साह
पिता का नाम: भमेली साह
मकान संख्या: ; 78
उम्र: 47 वर्ष, लिंग: महिला
फोटो उपलब्ध
--------------------------------------------------
</f>
        <v/>
      </c>
      <c r="E18">
        <f>== Voter 5 ===
EPIC: PJ00590307
निर्वाचक का नाम: बीणा देव
पति का नाम: भूमी साह
मकान संख्या: ; 78
उम्र: 47 वर्ष, लिंग: महिला
फोटो उपलब्ध
--------------------------------------------------
</f>
        <v/>
      </c>
      <c r="F18">
        <f>== Voter 6 ===
EPIC: PJ229807
निर्वाचक का नाम: ; ललिता देवी
पति का नाम: जगत नारायण
मकान संख्या: 8
उम्र: 48 वर्ष
फोटो उपलब्ध
--------------------------------------------------
</f>
        <v/>
      </c>
      <c r="G18">
        <f>== Voter 7 ===
EPIC: SPJ0705699
निर्वाचक का नाम: अर्जुन कुमार साह
पिता का नाम: भूमि साह
मकान संख्या: ; 78
उम्र: 35 वर्ष, लिंग: पुरुष
फोटो उपलब्ध
--------------------------------------------------
</f>
        <v/>
      </c>
      <c r="H18">
        <f>== Voter 8 ===
EPIC: SPJ0442954
पिता का नाम: भूमि साह
मकान संख्या: ; 78
उम्र: 43 वर्ष, लिंग: पुरुष
फोटो उपलब्ध
--------------------------------------------------
</f>
        <v/>
      </c>
      <c r="I18">
        <f>== Voter 9 ===
EPIC: SPJ7858596
निर्वाचक का नाम: ; विजय कुमार यादव
पिता का नाम: सीता राम यादव
मकान संख्या: 8
उम्र: 43 वर्ष, लिंग: पुरुष
फोटो उपलब्ध
--------------------------------------------------
</f>
        <v/>
      </c>
      <c r="J18">
        <f>== Voter 10 ===
EPIC: SPJ2753390
निर्वाचक का नाम: बीना देवी
पति का नाम: सोतीलाल
मकान संख्या: 9
उम्र: 22 वर्ष, लिंग: महिला
फोटो उपलब्ध
--------------------------------------------------
</f>
        <v/>
      </c>
      <c r="K18">
        <f>== Voter 11 ===
EPIC: SPU2753382
निर्वाचक का नाम: राजेश्वर शर्मा
पिता का नाम: नकछेदी
मकान संख्या: 78
उम्र: 22 वर्ष, लिंग: पुरुष
फोटो उपलब्ध
--------------------------------------------------
</f>
        <v/>
      </c>
      <c r="L18">
        <f>== Voter 12 ===
EPIC: SPJ7206945
निर्वाचक का नाम: खैजनी देवी
पति का नाम: नकछेदी
मकान संख्या: 8
उम्र: 22 वर्ष, लिंग: महिला
फोटो उपलब्ध
--------------------------------------------------
</f>
        <v/>
      </c>
      <c r="M18">
        <f>== Voter 13 ===
EPIC: MFV2564292
निर्वाचक का नाम: ; रमाकांत शर्मा
पिता का नाम: नकछेदी शर्मा
मकान संख्या: 8
उम्र: 22 वर्ष, लिंग: पुरुष
फोटो उपलब्ध
--------------------------------------------------
</f>
        <v/>
      </c>
      <c r="N18">
        <f>== Voter 14 ===
EPIC: PJ520865
निर्वाचक का नाम: सुदीमियां देवी
पिता का नाम: राजेश्वर शर्मा
मकान संख्या: 9
उम्र: 54 वर्ष, लिंग: पुरुष
फोटो उपलब्ध
--------------------------------------------------
</f>
        <v/>
      </c>
      <c r="O18">
        <f>== Voter 15 ===
EPIC: PJ520808
निर्वाचक का नाम: देवकी देवी निर्वाचक का नाम; परशुराम यादव निर्वाचक का नाम ; भूलकुन देवी
पिता का नाम: रवि यादव
मकान संख्या: 9
उम्र: 49 वर्ष, लिंग: पुरुष
फोटो उपलब्ध
--------------------------------------------------
</f>
        <v/>
      </c>
      <c r="P18">
        <f>== Voter 16 ===
EPIC: SPJ2735598
मकान संख्या: 9
उम्र: 48 वर्ष, लिंग: महिला
फोटो उपलब्ध
--------------------------------------------------
</f>
        <v/>
      </c>
      <c r="Q18">
        <f>== Voter 17 ===
EPIC: MFV0002506
उम्र: 48 वर्ष
फोटो उपलब्ध
--------------------------------------------------
</f>
        <v/>
      </c>
      <c r="R18">
        <f>== Voter 18 ===
EPIC: MFV0025722
मकान संख्या: 20
उम्र: 48 वर्ष
फोटो उपलब्ध
--------------------------------------------------
</f>
        <v/>
      </c>
      <c r="S18">
        <f>== Voter 19 ===
EPIC: MFV2563062
मकान संख्या: 20
उम्र: 77 वर्ष
फोटो उपलब्ध
--------------------------------------------------
</f>
        <v/>
      </c>
      <c r="T18">
        <f>== Voter 20 ===
EPIC: SPJ2506863
उम्र: 44 वर्ष
--------------------------------------------------
</f>
        <v/>
      </c>
      <c r="U18">
        <f>== Voter 21 ===
EPIC: SPJ2753523
मकान संख्या: 20
उम्र: 44 वर्ष
फोटो उपलब्ध
--------------------------------------------------
</f>
        <v/>
      </c>
      <c r="V18">
        <f>== Voter 22 ===
EPIC: MFV0009967
निर्वाचक का नाम: सीताराम यादव
मकान संख्या: 27
उम्र: 46 वर्ष
फोटो उपलब्ध
--------------------------------------------------
</f>
        <v/>
      </c>
      <c r="W18" t="inlineStr"/>
      <c r="X18" t="inlineStr"/>
      <c r="Y18" t="inlineStr"/>
      <c r="Z18" t="inlineStr"/>
      <c r="AA18" t="inlineStr"/>
      <c r="AB18" t="inlineStr"/>
    </row>
    <row r="19">
      <c r="A19">
        <f>== Voter 1 ===
EPIC: MFV0098830
निर्वाचक का नाम: ; राजाराम यादव
पति का नाम: राजाराम यादव पिता का नाम असर्फी यादव
मकान संख्या: 22
उम्र: 48 वर्ष
फोटो उपलब्ध
--------------------------------------------------
</f>
        <v/>
      </c>
      <c r="B19">
        <f>== Voter 2 ===
EPIC: SPJ0520840
मकान संख्या: 22
उम्र: 48 वर्ष
फोटो उपलब्ध
--------------------------------------------------
</f>
        <v/>
      </c>
      <c r="C19">
        <f>== Voter 3 ===
EPIC: PJ520857
निर्वाचक का नाम: द्रोपदी देवी
पति का नाम: ; पवन सदा
मकान संख्या: 22
उम्र: 48 वर्ष, लिंग: महिला
फोटो उपलब्ध
--------------------------------------------------
</f>
        <v/>
      </c>
      <c r="D19">
        <f>== Voter 4 ===
EPIC: SPJ2296465
निर्वाचक का नाम: पवन सदा
पिता का नाम: बहुरी सदा
उम्र: 48 वर्ष, लिंग: पुरुष
--------------------------------------------------
</f>
        <v/>
      </c>
      <c r="E19">
        <f>== Voter 5 ===
EPIC: SPJ2297646
निर्वाचक का नाम: धनीलाल यादव
पिता का नाम: दरबारी यादव
मकान संख्या: ; 22
उम्र: 27 वर्ष, लिंग: पुरुष
फोटो उपलब्ध
--------------------------------------------------
</f>
        <v/>
      </c>
      <c r="F19">
        <f>== Voter 6 ===
EPIC: PJ20730755
निर्वाचक का नाम: वीणा देवी निर्वाचक का नाम ; विनोद कुमार यादव निर्वाचक का नाम ; गणेश यादव
पति का नाम: रघुनंदन पिता का नाम धनीलाल यादव पिता करा नाम धनीलाल
मकान संख्या: ; 22
उम्र: 32 वर्ष
फोटो उपलब्ध
--------------------------------------------------
</f>
        <v/>
      </c>
      <c r="G19">
        <f>== Voter 7 ===
EPIC: MFV2864649
निर्वाचक का नाम: गंगाय यादव
पिता का नाम: जामुन यादव
मकान संख्या: 22
उम्र: 67 वर्ष, लिंग: पुरुष
फोटो उपलब्ध
--------------------------------------------------
</f>
        <v/>
      </c>
      <c r="H19">
        <f>== Voter 8 ===
EPIC: MFV0023465
निर्वाचक का नाम: शत्रुध्न यादव
पिता का नाम: गंगाय यादव
मकान संख्या: 22
उम्र: 57 वर्ष
फोटो उपलब्ध
--------------------------------------------------
</f>
        <v/>
      </c>
      <c r="I19">
        <f>== Voter 9 ===
EPIC: MFV0095950
निर्वाचक का नाम: ; राजकुमार यादव
पिता का नाम: गोबिंद यादव
उम्र: 72 वर्ष, लिंग: पुरुष
--------------------------------------------------
</f>
        <v/>
      </c>
      <c r="J19">
        <f>== Voter 10 ===
EPIC: SPJ2853893
निर्वाचक का नाम: रघुनंदन
पति का नाम: योगेंद्र कुमार चोपाल
मकान संख्या: 23
उम्र: 72 वर्ष, लिंग: महिला
फोटो उपलब्ध
--------------------------------------------------
</f>
        <v/>
      </c>
      <c r="K19">
        <f>== Voter 11 ===
EPIC: MFV0023002
निर्वाचक का नाम: रघुनंदन
पिता का नाम: बिसन यादव
मकान संख्या: 23
उम्र: 48 वर्ष, लिंग: पुरुष
फोटो उपलब्ध
--------------------------------------------------
</f>
        <v/>
      </c>
      <c r="L19">
        <f>== Voter 12 ===
EPIC: SPJ7678977
निर्वाचक का नाम: रघुनंदन
पिता का नाम: जामुन यादव
मकान संख्या: 23
उम्र: 48 वर्ष, लिंग: पुरुष
फोटो उपलब्ध
--------------------------------------------------
</f>
        <v/>
      </c>
      <c r="M19">
        <f>== Voter 13 ===
EPIC: MFV0256420
निर्वाचक का नाम: धीरेन कुमार यादव
पिता का नाम: गुलाबचंद यादव
मकान संख्या: 24
उम्र: 67 वर्ष, लिंग: पुरुष
फोटो उपलब्ध
--------------------------------------------------
</f>
        <v/>
      </c>
      <c r="N19">
        <f>== Voter 14 ===
EPIC: MFV2564276
निर्वाचक का नाम: ; सुमीत्रा देवी
मकान संख्या: ; 24
उम्र: 48 वर्ष, लिंग: ; महिला
फोटो उपलब्ध
--------------------------------------------------
</f>
        <v/>
      </c>
      <c r="O19">
        <f>== Voter 15 ===
EPIC: SPJ2296853
निर्वाचक का नाम: सरिता देवी निर्वाचक का नाम ; लुखीदेवी
मकान संख्या: 25
उम्र: 67 वर्ष
फोटो उपलब्ध
--------------------------------------------------
</f>
        <v/>
      </c>
      <c r="P19">
        <f>== Voter 16 ===
EPIC: MFV5009725
उम्र: 27 वर्ष
फोटो उपलब्ध
--------------------------------------------------
</f>
        <v/>
      </c>
      <c r="Q19">
        <f>== Voter 17 ===
EPIC: MFV2562676
मकान संख्या: 25
उम्र: 77 वर्ष, लिंग: महिला
फोटो उपलब्ध
--------------------------------------------------
</f>
        <v/>
      </c>
      <c r="R19">
        <f>== Voter 18 ===
EPIC: SPJ2279925
उम्र: 48 वर्ष
--------------------------------------------------
</f>
        <v/>
      </c>
      <c r="S19">
        <f>== Voter 19 ===
EPIC: MFV0098775
उम्र: 48 वर्ष
--------------------------------------------------
</f>
        <v/>
      </c>
      <c r="T19">
        <f>== Voter 20 ===
EPIC: MFV2563963
पिता का नाम: सदरी पोद्दार
मकान संख्या: 27
उम्र: 48 वर्ष
फोटो उपलब्ध
--------------------------------------------------
</f>
        <v/>
      </c>
      <c r="U19">
        <f>== Voter 21 ===
EPIC: SPJ0059035
मकान संख्या: 26
उम्र: 28 वर्ष
फोटो उपलब्ध
--------------------------------------------------
</f>
        <v/>
      </c>
      <c r="V19">
        <f>== Voter 22 ===
EPIC: MFV0023283
मकान संख्या: 28
उम्र: 67 वर्ष
फोटो उपलब्ध
--------------------------------------------------
</f>
        <v/>
      </c>
      <c r="W19" t="inlineStr"/>
      <c r="X19" t="inlineStr"/>
      <c r="Y19" t="inlineStr"/>
      <c r="Z19" t="inlineStr"/>
      <c r="AA19" t="inlineStr"/>
      <c r="AB19" t="inlineStr"/>
    </row>
    <row r="20">
      <c r="A20">
        <f>== Voter 1 ===
EPIC: MFV0256036
निर्वाचक का नाम: ; देवनारायण are
पिता का नाम: सुकदेव साह पति का नाम देव नारायण साह पिता का नाम विष्वानाथ साह
मकान संख्या: 28
उम्र: 62 वर्ष
फोटो उपलब्ध
--------------------------------------------------
</f>
        <v/>
      </c>
      <c r="B20">
        <f>== Voter 2 ===
EPIC: SPJ0590323
मकान संख्या: 28
उम्र: 62 वर्ष
फोटो उपलब्ध
--------------------------------------------------
</f>
        <v/>
      </c>
      <c r="C20">
        <f>== Voter 3 ===
EPIC: SPJ0059033
निर्वाचक का नाम: सुप्रिया देवी
पति का नाम: दिलीप साह
मकान संख्या: ; 28
उम्र: 46 वर्ष, लिंग: पुरुष
फोटो उपलब्ध
--------------------------------------------------
</f>
        <v/>
      </c>
      <c r="D20">
        <f>== Voter 4 ===
EPIC: SPJ0797068
पिता का नाम: स्व लखीचंन साह
मकान संख्या: ; 28
उम्र: 46 वर्ष, लिंग: पुरुष
फोटो उपलब्ध
--------------------------------------------------
</f>
        <v/>
      </c>
      <c r="E20">
        <f>== Voter 5 ===
EPIC: SPI7858638
निर्वाचक का नाम: सिरोमनी गुप्ता
पति का नाम: देवनारायण गुप्ता
मकान संख्या: 28
उम्र: 46 वर्ष, लिंग: महिला
फोटो उपलब्ध
--------------------------------------------------
</f>
        <v/>
      </c>
      <c r="F20">
        <f>== Voter 6 ===
EPIC: MFV7375407
निर्वाचक का नाम: सुनीलकुमार गुप्ता
पिता का नाम: देवनारायण गुप्ता
मकान संख्या: 29 फ़ोटो उपलब्ध
उम्र: 78 वर्ष, लिंग: पुरुष
--------------------------------------------------
</f>
        <v/>
      </c>
      <c r="G20">
        <f>== Voter 7 ===
EPIC: MFV0256793
निर्वाचक का नाम: संतोष कुमार साह
पिता का नाम: देवनराण गुप्ता
मकान संख्या: ; 29
उम्र: 53 वर्ष
फोटो उपलब्ध
--------------------------------------------------
</f>
        <v/>
      </c>
      <c r="H20">
        <f>== Voter 8 ===
EPIC: SPJ2297620
निर्वाचक का नाम: मांपी गुप्ता
पति का नाम: संतोष कुमार साह
मकान संख्या: 29
उम्र: 38 वर्ष, लिंग: महिला
फोटो उपलब्ध
--------------------------------------------------
</f>
        <v/>
      </c>
      <c r="I20">
        <f>== Voter 9 ===
EPIC: SPJ0032298
निर्वाचक का नाम: चंद्रकला देवी
पिता का नाम: गणपत साह
मकान संख्या: 29
उम्र: 27 वर्ष, लिंग: ; महिला
फोटो उपलब्ध
--------------------------------------------------
</f>
        <v/>
      </c>
      <c r="J20">
        <f>== Voter 10 ===
EPIC: SPJ0705640
निर्वाचक का नाम: विनोद कुमार शर्मा
पिता का नाम: गणपत साह
मकान संख्या: 29
उम्र: 27 वर्ष, लिंग: पुरुष
फोटो उपलब्ध
--------------------------------------------------
</f>
        <v/>
      </c>
      <c r="K20">
        <f>== Voter 11 ===
EPIC: PU70965235
पति का नाम: देव नारायण शर्मा
उम्र: 57 वर्ष
--------------------------------------------------
</f>
        <v/>
      </c>
      <c r="L20">
        <f>== Voter 12 ===
EPIC: SPJ0736872
निर्वाचक का नाम: ; संजय कुमार
पिता का नाम: गणपत साह
मकान संख्या: 30
उम्र: 38 वर्ष, लिंग: पुरुष
फोटो उपलब्ध
--------------------------------------------------
</f>
        <v/>
      </c>
      <c r="M20">
        <f>== Voter 13 ===
EPIC: SPJ2064079
निर्वाचक का नाम: कौशल्या देवी
पति का नाम: गणपत साह
मकान संख्या: 30
फोटो उपलब्ध
--------------------------------------------------
</f>
        <v/>
      </c>
      <c r="N20">
        <f>== Voter 14 ===
EPIC: SPJ0520774
निर्वाचक का नाम: आरती देवी
मकान संख्या: 37
उम्र: 36 वर्ष, लिंग: महिला
फोटो उपलब्ध
--------------------------------------------------
</f>
        <v/>
      </c>
      <c r="O20">
        <f>== Voter 15 ===
EPIC: MFV0095943
निर्वाचक का नाम: रामचंद्र साह
पिता का नाम: ठीटर are
मकान संख्या: 37
उम्र: 48 वर्ष, लिंग: पुरुष
फोटो उपलब्ध
--------------------------------------------------
</f>
        <v/>
      </c>
      <c r="P20">
        <f>== Voter 16 ===
EPIC: SPJ0590349
निर्वाचक का नाम: प्रमोद कुमार
मकान संख्या: 3
उम्र: 44 वर्ष, लिंग: पुरुष
फोटो उपलब्ध
--------------------------------------------------
</f>
        <v/>
      </c>
      <c r="Q20">
        <f>== Voter 17 ===
EPIC: PJ20735358
निर्वाचक का नाम: मुन्नी देवी
पिता का नाम: रामचन्द्र
मकान संख्या: 32
उम्र: 44 वर्ष, लिंग: पुरुष
फोटो उपलब्ध
--------------------------------------------------
</f>
        <v/>
      </c>
      <c r="R20">
        <f>== Voter 18 ===
EPIC: SPJ0695394
निर्वाचक का नाम: ; दीपा साहा
पिता का नाम: विजय प्रसाद साह
मकान संख्या: 32
उम्र: 48 वर्ष, लिंग: पुरुष
फोटो उपलब्ध
--------------------------------------------------
</f>
        <v/>
      </c>
      <c r="S20">
        <f>== Voter 19 ===
EPIC: SPJ0590356
निर्वाचक का नाम: मंजू देवी निर्वाचक का नाम ; दिपेश साह
पति का नाम: संतोष कुमार पिता का नाम विजय प्रसाद साह
मकान संख्या: 32
उम्र: 48 वर्ष, लिंग: पुरुष
फोटो उपलब्ध
--------------------------------------------------
</f>
        <v/>
      </c>
      <c r="T20">
        <f>== Voter 20 ===
EPIC: SPJ7635820
मकान संख्या: 32
उम्र: 44 वर्ष
फोटो उपलब्ध
--------------------------------------------------
</f>
        <v/>
      </c>
      <c r="U20">
        <f>== Voter 21 ===
EPIC: MFV5008735
मकान संख्या: 32
उम्र: 44 वर्ष
फोटो उपलब्ध
--------------------------------------------------
</f>
        <v/>
      </c>
      <c r="V20">
        <f>== Voter 22 ===
EPIC: PJ00705707
मकान संख्या: ; 32
उम्र: 44 वर्ष
फोटो उपलब्ध
--------------------------------------------------
</f>
        <v/>
      </c>
      <c r="W20">
        <f>== Voter 23 ===
EPIC: SPJ2450328
मकान संख्या: 32
उम्र: 32 वर्ष
फोटो उपलब्ध
--------------------------------------------------
</f>
        <v/>
      </c>
      <c r="X20">
        <f>== Voter 24 ===
EPIC: SPU0245035
निर्वाचक का नाम: संतोष कुमार
मकान संख्या: ; 32
उम्र: 32 वर्ष
फोटो उपलब्ध
--------------------------------------------------
</f>
        <v/>
      </c>
      <c r="Y20" t="inlineStr"/>
      <c r="Z20" t="inlineStr"/>
      <c r="AA20" t="inlineStr"/>
      <c r="AB20" t="inlineStr"/>
    </row>
    <row r="21">
      <c r="A21">
        <f>== Voter 1 ===
EPIC: SPJ0590364
निर्वाचक का नाम: सुशीला देवी निर्वाचक का नाम दिनेश कुमार are निर्वाचक का नाम राम नारायण पौदार
पति का नाम: देवीलाल पिता का नाम देवी लाल पिता का ar सोने लाल पौदार
मकान संख्या: 33
उम्र: 67 वर्ष
फोटो उपलब्ध
--------------------------------------------------
</f>
        <v/>
      </c>
      <c r="B21">
        <f>== Voter 2 ===
EPIC: PJ00875088
पिता का नाम: सोनेलाल
मकान संख्या: 33
उम्र: 67 वर्ष
फोटो उपलब्ध
--------------------------------------------------
</f>
        <v/>
      </c>
      <c r="C21">
        <f>== Voter 3 ===
EPIC: PJ243489
निर्वाचक का नाम: बालगोविन्द यादव
पिता का नाम: कुंजीलाल
मकान संख्या: 33
उम्र: 67 वर्ष, लिंग: ; पुरुष
फोटो उपलब्ध
--------------------------------------------------
</f>
        <v/>
      </c>
      <c r="D21">
        <f>== Voter 4 ===
EPIC: MFV0027086
निर्वाचक का नाम: राम नारायण यादव
पिता का नाम: कुंजीलाल यादव
मकान संख्या: 34
उम्र: 67 वर्ष, लिंग: पुरुष
फोटो उपलब्ध
--------------------------------------------------
</f>
        <v/>
      </c>
      <c r="E21">
        <f>== Voter 5 ===
EPIC: PJ00590372
मकान संख्या: 34
उम्र: 55 वर्ष, लिंग: ; पुरुष
फोटो उपलब्ध
--------------------------------------------------
</f>
        <v/>
      </c>
      <c r="F21">
        <f>== Voter 6 ===
EPIC: MFV0027458
निर्वाचक का नाम: राधा देवी
पति का नाम: रामफलयादव
मकान संख्या: ; 35
उम्र: 55 वर्ष, लिंग: पुरुष
फोटो उपलब्ध
--------------------------------------------------
</f>
        <v/>
      </c>
      <c r="G21">
        <f>== Voter 7 ===
EPIC: SPJ2064475
निर्वाचक का नाम: रामराजा यादव
पिता का नाम: रामफल यादव
मकान संख्या: 35
उम्र: 55 वर्ष, लिंग: पुरुष
फोटो उपलब्ध
--------------------------------------------------
</f>
        <v/>
      </c>
      <c r="H21">
        <f>== Voter 8 ===
EPIC: SPJ0373627
निर्वाचक का नाम: बसंती देवी
पिता का नाम: रामफल यादव
मकान संख्या: 35
उम्र: 74 वर्ष, लिंग: महिला
फोटो उपलब्ध
--------------------------------------------------
</f>
        <v/>
      </c>
      <c r="I21">
        <f>== Voter 9 ===
EPIC: SPJ0752088
निर्वाचक का नाम: ललन कुमार यादव
पिता का नाम: नारायण यादव
मकान संख्या: 36
उम्र: 49 वर्ष, लिंग: ; महिला
फोटो उपलब्ध
--------------------------------------------------
</f>
        <v/>
      </c>
      <c r="J21">
        <f>== Voter 10 ===
EPIC: SPJ0590380
निर्वाचक का नाम: सातेन यादव
पिता का नाम: मुनि लाल यादव
मकान संख्या: 36
उम्र: 74 वर्ष, लिंग: पुरुष
फोटो उपलब्ध
--------------------------------------------------
</f>
        <v/>
      </c>
      <c r="K21">
        <f>== Voter 11 ===
EPIC: SPJ0590398
निर्वाचक का नाम: ; आशा देवी
पति का नाम: राम राजा यादव
मकान संख्या: 36
उम्र: 49 वर्ष, लिंग: ; महिला
फोटो उपलब्ध
--------------------------------------------------
</f>
        <v/>
      </c>
      <c r="L21">
        <f>== Voter 12 ===
EPIC: MFV2564789
निर्वाचक का नाम: dare देवी
पिता का नाम: रामजी यादव
मकान संख्या: 36
उम्र: 48 वर्ष, लिंग: महिला
फोटो उपलब्ध
--------------------------------------------------
</f>
        <v/>
      </c>
      <c r="M21">
        <f>== Voter 13 ===
EPIC: SPJ0206449
निर्वाचक का नाम: गीता देवी
पिता का नाम: उत्तीम लाल
मकान संख्या: 36
उम्र: 48 वर्ष, लिंग: पुरुष
फोटो उपलब्ध
--------------------------------------------------
</f>
        <v/>
      </c>
      <c r="N21">
        <f>== Voter 14 ===
EPIC: PJ20064483
निर्वाचक का नाम: ; योगेंद्र यादव
मकान संख्या: + 36
उम्र: 47 वर्ष
फोटो उपलब्ध
--------------------------------------------------
</f>
        <v/>
      </c>
      <c r="O21">
        <f>== Voter 15 ===
EPIC: SPJ0590406
निर्वाचक का नाम: हरिहर देवी निर्वाचक का नाम; सावित्री देवी
पति का नाम: वासुदेव प्रति का नाम सहदेव
मकान संख्या: 39 फ़ोटो उपलब्ध मकान संख्या ; 39 फ़ोटो उपलब्ध
उम्र: 45 वर्ष
--------------------------------------------------
</f>
        <v/>
      </c>
      <c r="P21">
        <f>== Voter 16 ===
EPIC: SPJ2365872
मकान संख्या: 36
उम्र: 45 वर्ष
फोटो उपलब्ध
--------------------------------------------------
</f>
        <v/>
      </c>
      <c r="Q21">
        <f>== Voter 17 ===
EPIC: PJ059044
मकान संख्या: 36
उम्र: 38 वर्ष
फोटो उपलब्ध
--------------------------------------------------
</f>
        <v/>
      </c>
      <c r="R21">
        <f>== Voter 18 ===
EPIC: MFV0038950
मकान संख्या: 37
उम्र: 60 वर्ष, लिंग: पुरुष
फोटो उपलब्ध
--------------------------------------------------
</f>
        <v/>
      </c>
      <c r="S21">
        <f>== Voter 19 ===
EPIC: MFV5009634
मकान संख्या: 37
उम्र: 60 वर्ष
फोटो उपलब्ध
--------------------------------------------------
</f>
        <v/>
      </c>
      <c r="T21">
        <f>== Voter 20 ===
EPIC: MFV0024489
मकान संख्या: 37
उम्र: 47 वर्ष
फोटो उपलब्ध
--------------------------------------------------
</f>
        <v/>
      </c>
      <c r="U21">
        <f>== Voter 21 ===
EPIC: SPJ0875096
मकान संख्या: 37
उम्र: 47 वर्ष
फोटो उपलब्ध
--------------------------------------------------
</f>
        <v/>
      </c>
      <c r="V21">
        <f>== Voter 22 ===
EPIC: MFV0029298
मकान संख्या: 37
उम्र: 48 वर्ष, लिंग: महिला
फोटो उपलब्ध
--------------------------------------------------
</f>
        <v/>
      </c>
      <c r="W21">
        <f>== Voter 23 ===
EPIC: SPJ7965243
उम्र: 52 वर्ष
--------------------------------------------------
</f>
        <v/>
      </c>
      <c r="X21">
        <f>== Voter 24 ===
EPIC: MFV0002348
पति का नाम: हरिकिसुन यादव
मकान संख्या: 39
उम्र: 52 वर्ष
फोटो उपलब्ध
--------------------------------------------------
</f>
        <v/>
      </c>
      <c r="Y21">
        <f>== Voter 25 ===
EPIC: SPJ0070568
पति का नाम: हरिकिसुन यादव
मकान संख्या: 39
उम्र: 52 वर्ष
फोटो उपलब्ध
--------------------------------------------------
</f>
        <v/>
      </c>
      <c r="Z21">
        <f>== Voter 26 ===
EPIC: MFV0256296
मकान संख्या: 38
उम्र: 57 वर्ष
फोटो उपलब्ध
--------------------------------------------------
</f>
        <v/>
      </c>
      <c r="AA21">
        <f>== Voter 27 ===
EPIC: MFV0026385
मकान संख्या: ; 39
फोटो उपलब्ध
--------------------------------------------------
</f>
        <v/>
      </c>
      <c r="AB21">
        <f>== Voter 28 ===
EPIC: MFV0027052
मकान संख्या: ; 39
उम्र: 57 वर्ष
फोटो उपलब्ध
--------------------------------------------------
</f>
        <v/>
      </c>
    </row>
    <row r="22">
      <c r="A22">
        <f>== Voter 1 ===
EPIC: MFV0038870
निर्वाचक का नाम: राजेंद्र यादव
पति का नाम: योगेंद्र प्रति का नाम राजेंद्र
मकान संख्या: 39
उम्र: 48 वर्ष
फोटो उपलब्ध
--------------------------------------------------
</f>
        <v/>
      </c>
      <c r="B22">
        <f>== Voter 2 ===
EPIC: SPJ0858646
निर्वाचक का नाम: मनोज कुमार यादव
पिता का नाम: बासुदेव यादव
मकान संख्या: 39
उम्र: 48 वर्ष, लिंग: महिला
फोटो उपलब्ध
--------------------------------------------------
</f>
        <v/>
      </c>
      <c r="C22">
        <f>== Voter 3 ===
EPIC: MFV0002640
निर्वाचक का नाम: aaa देवी
पिता का नाम: वासुदेव यादव
मकान संख्या: 39
उम्र: 48 वर्ष, लिंग: महिला
फोटो उपलब्ध
--------------------------------------------------
</f>
        <v/>
      </c>
      <c r="D22">
        <f>== Voter 4 ===
EPIC: MFV0500068
निर्वाचक का नाम: पवन कुमार यादव
पिता का नाम: योगेंद्र यादव
मकान संख्या: ; 39
उम्र: 36 वर्ष, लिंग: महिला
फोटो उपलब्ध
--------------------------------------------------
</f>
        <v/>
      </c>
      <c r="E22">
        <f>== Voter 5 ===
EPIC: SPJ2296879
निर्वाचक का नाम: ; कंपु खतवे
मकान संख्या: 39
उम्र: 36 वर्ष, लिंग: ; पुरुष
फोटो उपलब्ध
--------------------------------------------------
</f>
        <v/>
      </c>
      <c r="F22">
        <f>== Voter 6 ===
EPIC: PJ229682
निर्वाचक का नाम: खटर खतवे
पिता का नाम: अधिक लाल
मकान संख्या: 39
उम्र: 36 वर्ष, लिंग: पुरुष
फोटो उपलब्ध
--------------------------------------------------
</f>
        <v/>
      </c>
      <c r="G22">
        <f>== Voter 7 ===
EPIC: SPJ2296820
मकान संख्या: ; 39
उम्र: 27 वर्ष
फोटो उपलब्ध
--------------------------------------------------
</f>
        <v/>
      </c>
      <c r="H22">
        <f>== Voter 8 ===
EPIC: SPJ7858653
निर्वाचक का नाम: ; मुनि देवी
पिता का नाम: बिजु खतवे
मकान संख्या: 40
उम्र: 62 वर्ष, लिंग: पुरुष
फोटो उपलब्ध
--------------------------------------------------
</f>
        <v/>
      </c>
      <c r="I22">
        <f>== Voter 9 ===
EPIC: MFV2564250
मकान संख्या: 40
उम्र: 62 वर्ष
फोटो उपलब्ध
--------------------------------------------------
</f>
        <v/>
      </c>
      <c r="J22">
        <f>== Voter 10 ===
EPIC: MFV2560290
निर्वाचक का नाम: किसनी देवी
पिता का नाम: मह्न्यी खात्वे
मकान संख्या: 40
उम्र: 62 वर्ष, लिंग: महिला
फोटो उपलब्ध
--------------------------------------------------
</f>
        <v/>
      </c>
      <c r="K22">
        <f>== Voter 11 ===
EPIC: MFV7375308
निर्वाचक का नाम: घोघाय यादव
पिता का नाम: परमेश्वरी
मकान संख्या: 40
उम्र: 62 वर्ष, लिंग: पुरुष
फोटो उपलब्ध
--------------------------------------------------
</f>
        <v/>
      </c>
      <c r="L22">
        <f>== Voter 12 ===
EPIC: PJ70858679
निर्वाचक का नाम: श्रवन कुमार यादव
मकान संख्या: 40
उम्र: 39 वर्ष, लिंग: पुरुष
फोटो उपलब्ध
--------------------------------------------------
</f>
        <v/>
      </c>
      <c r="M22">
        <f>== Voter 13 ===
EPIC: PJ20730777
निर्वाचक का नाम: खतवे
पिता का नाम: घोघाय॑ यादव
मकान संख्या: 42
उम्र: 57 वर्ष, लिंग: पुरुष
फोटो उपलब्ध
--------------------------------------------------
</f>
        <v/>
      </c>
      <c r="N22">
        <f>== Voter 14 ===
EPIC: MFV0026674
निर्वाचक का नाम: सुलेखा देवी
पति का नाम: राज कुमार
उम्र: 43 वर्ष, लिंग: महिला
--------------------------------------------------
</f>
        <v/>
      </c>
      <c r="O22">
        <f>== Voter 15 ===
EPIC: MFV5008974
निर्वाचक का नाम: खतवे
पिता का नाम: कोशी लाल
मकान संख्या: 42 फ़ोटो उपलब्ध मकान संख्या : 42
उम्र: 57 वर्ष, लिंग: ; पुरुष
फोटो उपलब्ध
--------------------------------------------------
</f>
        <v/>
      </c>
      <c r="P22">
        <f>== Voter 16 ===
EPIC: MFV0098509
निर्वाचक का नाम: शाँति देवी
मकान संख्या: 44 फ़ोंटो उपलब्ध
उम्र: 52 वर्ष, लिंग: महिला
--------------------------------------------------
</f>
        <v/>
      </c>
      <c r="Q22">
        <f>== Voter 17 ===
EPIC: SPJ7858687
उम्र: 52 वर्ष
--------------------------------------------------
</f>
        <v/>
      </c>
      <c r="R22">
        <f>== Voter 18 ===
EPIC: MFV0099358
मकान संख्या: 44
उम्र: 62 वर्ष, लिंग: महिला
फोटो उपलब्ध
--------------------------------------------------
</f>
        <v/>
      </c>
      <c r="S22">
        <f>== Voter 19 ===
EPIC: SPJ2735267
मकान संख्या: 44
उम्र: 67 वर्ष
फोटो उपलब्ध
--------------------------------------------------
</f>
        <v/>
      </c>
      <c r="T22">
        <f>== Voter 20 ===
EPIC: SPJ9520923
मकान संख्या: 44
उम्र: 39 वर्ष
फोटो उपलब्ध
--------------------------------------------------
</f>
        <v/>
      </c>
      <c r="U22">
        <f>== Voter 21 ===
EPIC: SPJ0590430
मकान संख्या: 44
उम्र: 43 वर्ष
फोटो उपलब्ध
--------------------------------------------------
</f>
        <v/>
      </c>
      <c r="V22">
        <f>== Voter 22 ===
EPIC: MFV0098723
मकान संख्या: 44
उम्र: 43 वर्ष
फोटो उपलब्ध
--------------------------------------------------
</f>
        <v/>
      </c>
      <c r="W22">
        <f>== Voter 23 ===
EPIC: MFV0024573
मकान संख्या: 45
उम्र: 54 वर्ष
फोटो उपलब्ध
--------------------------------------------------
</f>
        <v/>
      </c>
      <c r="X22" t="inlineStr"/>
      <c r="Y22" t="inlineStr"/>
      <c r="Z22" t="inlineStr"/>
      <c r="AA22" t="inlineStr"/>
      <c r="AB22" t="inlineStr"/>
    </row>
    <row r="23">
      <c r="A23">
        <f>== Voter 1 ===
EPIC: SPJ7858695
निर्वाचक का नाम: ; भजवा देवी निर्वाचक का नाम तिलकेश्वर यादव निर्वाचक का नाम राजेश्वर यादव
पति का नाम: युगेश्वर पिता का ana कोशी लाल पिता का नाम कोशी लाल
मकान संख्या: 45
उम्र: 52 वर्ष
फोटो उपलब्ध
--------------------------------------------------
</f>
        <v/>
      </c>
      <c r="B23">
        <f>== Voter 2 ===
EPIC: MFV0028647
निर्वाचक का नाम: दुखनी देवी
पिता का नाम: कोशी लाल
मकान संख्या: 45
उम्र: 52 वर्ष
फोटो उपलब्ध
--------------------------------------------------
</f>
        <v/>
      </c>
      <c r="C23">
        <f>== Voter 3 ===
EPIC: PJ00373635
निर्वाचक का नाम: विनोद कुमार मेहता
पिता का नाम: शिव नारायण मेहता
मकान संख्या: 45
उम्र: 37 वर्ष, लिंग: ; पुरुष
फोटो उपलब्ध
--------------------------------------------------
</f>
        <v/>
      </c>
      <c r="D23">
        <f>== Voter 4 ===
EPIC: SPJ2064087
निर्वाचक का नाम: रंजित कुमार मेहता
पिता का नाम: राम पुकार मेहता
मकान संख्या: 45
उम्र: 37 वर्ष, लिंग: पुरुष
फोटो उपलब्ध
--------------------------------------------------
</f>
        <v/>
      </c>
      <c r="E23">
        <f>== Voter 5 ===
EPIC: SPJ0206369
निर्वाचक का नाम: ललित कुमार मेहता
उम्र: 37 वर्ष, लिंग: पुरुष
--------------------------------------------------
</f>
        <v/>
      </c>
      <c r="F23">
        <f>== Voter 6 ===
EPIC: SPJ2064095
निर्वाचक का नाम: महबु यादव
पिता का नाम: तिलेकेश्वर यादव
उम्र: 37 वर्ष, लिंग: महिला
--------------------------------------------------
</f>
        <v/>
      </c>
      <c r="G23">
        <f>== Voter 7 ===
EPIC: SPJ0206477
निर्वाचक का नाम: ; शिवरांम यादव
पिता का नाम: Beez यादव
मकान संख्या: ; 45
उम्र: 28 वर्ष, लिंग: पुरुष
फोटो उपलब्ध
--------------------------------------------------
</f>
        <v/>
      </c>
      <c r="H23">
        <f>== Voter 8 ===
EPIC: SPJ2735259
निर्वाचक का नाम: चनावती देवी
पति का नाम: बौध राम
मकान संख्या: ; 45
उम्र: 28 वर्ष, लिंग: पुरुष
फोटो उपलब्ध
--------------------------------------------------
</f>
        <v/>
      </c>
      <c r="I23">
        <f>== Voter 9 ===
EPIC: SPJ2297877
निर्वाचक का नाम: ब्रहमदेव यादव
पिता का नाम: विन्देश्वर यादव
मकान संख्या: 45
उम्र: 29 वर्ष, लिंग: पुरुष
फोटो उपलब्ध
--------------------------------------------------
</f>
        <v/>
      </c>
      <c r="J23">
        <f>== Voter 10 ===
EPIC: SPJ2735242
निर्वाचक का नाम: अगरी देवी
पिता का नाम: Breage यादव
मकान संख्या: 45
उम्र: 29 वर्ष, लिंग: ! : पुरुष
फोटो उपलब्ध
--------------------------------------------------
</f>
        <v/>
      </c>
      <c r="K23">
        <f>== Voter 11 ===
EPIC: PJ033338
निर्वाचक का नाम: ; बिरेन्द्र यादव
पिता का नाम: छतुहरू यादव
मकान संख्या: 45
उम्र: 29 वर्ष
फोटो उपलब्ध
--------------------------------------------------
</f>
        <v/>
      </c>
      <c r="L23">
        <f>== Voter 12 ===
EPIC: PJ206452
निर्वाचक का नाम: हरेकृष्ण यादव निर्वाचक का नाम ; हरिहर देवी
पिता का नाम: भूटन यादव प्रति का नाम हरेकृष्ण
मकान संख्या: 47
उम्र: 55 वर्ष, लिंग: ; पुरुष
फोटो उपलब्ध
--------------------------------------------------
</f>
        <v/>
      </c>
      <c r="M23">
        <f>== Voter 13 ===
EPIC: PU20064525
मकान संख्या: 47
उम्र: 35 वर्ष, लिंग: पुरुष
फोटो उपलब्ध
--------------------------------------------------
</f>
        <v/>
      </c>
      <c r="N23">
        <f>== Voter 14 ===
EPIC: MFV0256232
मकान संख्या: 47
फोटो उपलब्ध
--------------------------------------------------
</f>
        <v/>
      </c>
      <c r="O23">
        <f>== Voter 15 ===
EPIC: SPJ2304368
मकान संख्या: 47
उम्र: 42 वर्ष
फोटो उपलब्ध
--------------------------------------------------
</f>
        <v/>
      </c>
      <c r="P23">
        <f>== Voter 16 ===
EPIC: MFV7375662
मकान संख्या: 47
उम्र: 62 वर्ष, लिंग: पुरुष
फोटो उपलब्ध
--------------------------------------------------
</f>
        <v/>
      </c>
      <c r="Q23">
        <f>== Voter 17 ===
EPIC: PJ273537
मकान संख्या: 48
उम्र: 29 वर्ष
फोटो उपलब्ध
--------------------------------------------------
</f>
        <v/>
      </c>
      <c r="R23">
        <f>== Voter 18 ===
EPIC: SPJ2735275
मकान संख्या: 48
उम्र: 39 वर्ष
फोटो उपलब्ध
--------------------------------------------------
</f>
        <v/>
      </c>
      <c r="S23">
        <f>== Voter 19 ===
EPIC: SPJ0206454
मकान संख्या: 48
उम्र: 67 वर्ष
फोटो उपलब्ध
--------------------------------------------------
</f>
        <v/>
      </c>
      <c r="T23">
        <f>== Voter 20 ===
EPIC: SPJ2000636
--------------------------------------------------
</f>
        <v/>
      </c>
      <c r="U23">
        <f>== Voter 21 ===
EPIC: MFV0024760
मकान संख्या: 49
उम्र: 48 वर्ष
फोटो उपलब्ध
--------------------------------------------------
</f>
        <v/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>
        <f>== Voter 1 ===
EPIC: PJ20735234
निर्वाचक का नाम: गीता देवी
पति का नाम: बिरेन्द्र यादव पिता का नाम हरेकृष्ण यादव प्रति का नाम नवोद
मकान संख्या: 49
उम्र: 40 वर्ष
फोटो उपलब्ध
--------------------------------------------------
</f>
        <v/>
      </c>
      <c r="B24">
        <f>== Voter 2 ===
EPIC: SPJ0590455
मकान संख्या: 49
उम्र: 40 वर्ष
फोटो उपलब्ध
--------------------------------------------------
</f>
        <v/>
      </c>
      <c r="C24">
        <f>== Voter 3 ===
EPIC: SPJ2858298
निर्वाचक का नाम: सुनीता देवी
पिता का नाम: हरे कृष्णा
मकान संख्या: 49
उम्र: 40 वर्ष, लिंग: ; पुरुष
फोटो उपलब्ध
--------------------------------------------------
</f>
        <v/>
      </c>
      <c r="D24">
        <f>== Voter 4 ===
EPIC: SPU0285385
पिता का नाम: हरेक्रष्ण यादव
मकान संख्या: 49
उम्र: 40 वर्ष, लिंग: पुरुष
फोटो उपलब्ध
--------------------------------------------------
</f>
        <v/>
      </c>
      <c r="E24">
        <f>== Voter 5 ===
EPIC: SPJ0520949
निर्वाचक का नाम: अमेरिका देवी
पिता का नाम: छोटकन
मकान संख्या: 49
उम्र: 33 वर्ष, लिंग: ; महिला
फोटो उपलब्ध
--------------------------------------------------
</f>
        <v/>
      </c>
      <c r="F24">
        <f>== Voter 6 ===
EPIC: PJ00373035
निर्वाचक का नाम: दानी यादव
पिता का नाम: प्रेम लाल यादव
मकान संख्या: 49
उम्र: 33 वर्ष, लिंग: पुरुष
फोटो उपलब्ध
--------------------------------------------------
</f>
        <v/>
      </c>
      <c r="G24">
        <f>== Voter 7 ===
EPIC: SPJ7520964
निर्वाचक का नाम: शांति देवी निर्वाचक का नाम नीतू देवी निर्वाचक का नाम प्रयाग कुमार यादव
पति का नाम: दानीयादव पति का नाम इनर यादव पिता का नाम दानी यादव
मकान संख्या: 49
उम्र: 33 वर्ष
फोटो उपलब्ध
--------------------------------------------------
</f>
        <v/>
      </c>
      <c r="H24">
        <f>== Voter 8 ===
EPIC: MFV0025395
निर्वाचक का नाम: स्रोहागीदेवी
मकान संख्या: 49
उम्र: 33 वर्ष, लिंग: महिला
फोटो उपलब्ध
--------------------------------------------------
</f>
        <v/>
      </c>
      <c r="I24">
        <f>== Voter 9 ===
EPIC: MFV2563779
निर्वाचक का नाम: प्रमिला देवी
पति का नाम: प्रयाग कुमार
उम्र: 57 वर्ष
--------------------------------------------------
</f>
        <v/>
      </c>
      <c r="J24">
        <f>== Voter 10 ===
EPIC: SPJ2296846
निर्वाचक का नाम: ; प्रियंका कुमारी
पति का नाम: श्रवण कुमार यादव
उम्र: 57 वर्ष, लिंग: महिला
--------------------------------------------------
</f>
        <v/>
      </c>
      <c r="K24">
        <f>== Voter 11 ===
EPIC: SPJ2296275
निर्वाचक का नाम: ; दिनेश्वर यादव
पिता का नाम: बालकृष्ण यादव
मकान संख्या: 50
उम्र: 57 वर्ष, लिंग: पुरुष
फोटो उपलब्ध
--------------------------------------------------
</f>
        <v/>
      </c>
      <c r="L24">
        <f>== Voter 12 ===
EPIC: SPJ2064566
निर्वाचक का नाम: ; हरेकृष्ण राय
पिता का नाम: सीताराम यादव
मकान संख्या: ; 5
उम्र: 52 वर्ष, लिंग: महिला
फोटो उपलब्ध
--------------------------------------------------
</f>
        <v/>
      </c>
      <c r="M24">
        <f>== Voter 13 ===
EPIC: SPJ2064574
निर्वाचक का नाम: दानीयादव
पिता का नाम: सीता राम यादव
मकान संख्या: ; 5
उम्र: 52 वर्ष, लिंग: पुरुष
फोटो उपलब्ध
--------------------------------------------------
</f>
        <v/>
      </c>
      <c r="N24">
        <f>== Voter 14 ===
EPIC: MFV0024455
निर्वाचक का नाम: दानीयादव
मकान संख्या: 57 फ़ोटो उपलब्ध मकान संख्या : 5
उम्र: 49 वर्ष
फोटो उपलब्ध
--------------------------------------------------
</f>
        <v/>
      </c>
      <c r="O24">
        <f>== Voter 15 ===
EPIC: SPJ2064582
मकान संख्या: 5
उम्र: 52 वर्ष
फोटो उपलब्ध
--------------------------------------------------
</f>
        <v/>
      </c>
      <c r="P24">
        <f>== Voter 16 ===
EPIC: SPJ0296823
पिता का नाम: नथूनी यादव
मकान संख्या: 5
फोटो उपलब्ध
--------------------------------------------------
</f>
        <v/>
      </c>
      <c r="Q24">
        <f>== Voter 17 ===
EPIC: MFV5008779
मकान संख्या: 57
उम्र: 28 वर्ष
फोटो उपलब्ध
--------------------------------------------------
</f>
        <v/>
      </c>
      <c r="R24">
        <f>== Voter 18 ===
EPIC: MFV2564672
मकान संख्या: 57
उम्र: 28 वर्ष
फोटो उपलब्ध
--------------------------------------------------
</f>
        <v/>
      </c>
      <c r="S24">
        <f>== Voter 19 ===
EPIC: MFV2564797
मकान संख्या: 57
उम्र: 49 वर्ष, लिंग: महिला
फोटो उपलब्ध
--------------------------------------------------
</f>
        <v/>
      </c>
      <c r="T24">
        <f>== Voter 20 ===
EPIC: SPJ0520980
मकान संख्या: 54
उम्र: 57 वर्ष
फोटो उपलब्ध
--------------------------------------------------
</f>
        <v/>
      </c>
      <c r="U24">
        <f>== Voter 21 ===
EPIC: SPJ0087504
मकान संख्या: 54
उम्र: 57 वर्ष
फोटो उपलब्ध
--------------------------------------------------
</f>
        <v/>
      </c>
      <c r="V24">
        <f>== Voter 22 ===
EPIC: SPJ2496749
मकान संख्या: 54
उम्र: 57 वर्ष
फोटो उपलब्ध
--------------------------------------------------
</f>
        <v/>
      </c>
      <c r="W24">
        <f>== Voter 23 ===
EPIC: SPJ0520956
मकान संख्या: 55
उम्र: 34 वर्ष, लिंग: पुरुष
फोटो उपलब्ध
--------------------------------------------------
</f>
        <v/>
      </c>
      <c r="X24" t="inlineStr"/>
      <c r="Y24" t="inlineStr"/>
      <c r="Z24" t="inlineStr"/>
      <c r="AA24" t="inlineStr"/>
      <c r="AB24" t="inlineStr"/>
    </row>
    <row r="25">
      <c r="A25">
        <f>== Voter 1 ===
EPIC: PJ70520998
मकान संख्या: 55
उम्र: 52 वर्ष
फोटो उपलब्ध
--------------------------------------------------
</f>
        <v/>
      </c>
      <c r="B25">
        <f>== Voter 2 ===
EPIC: MFV0096073
मकान संख्या: 55
उम्र: 52 वर्ष
फोटो उपलब्ध
--------------------------------------------------
</f>
        <v/>
      </c>
      <c r="C25">
        <f>== Voter 3 ===
EPIC: MFV0096749
मकान संख्या: 55
उम्र: 52 वर्ष
फोटो उपलब्ध
--------------------------------------------------
</f>
        <v/>
      </c>
      <c r="D25">
        <f>== Voter 4 ===
EPIC: MFV0002895
मकान संख्या: 55
उम्र: 45 वर्ष
फोटो उपलब्ध
--------------------------------------------------
</f>
        <v/>
      </c>
      <c r="E25">
        <f>== Voter 5 ===
EPIC: SPJ2853877
मकान संख्या: 55
उम्र: 62 वर्ष
फोटो उपलब्ध
--------------------------------------------------
</f>
        <v/>
      </c>
      <c r="F25">
        <f>== Voter 6 ===
EPIC: MFV0002392
मकान संख्या: 55
उम्र: 40 वर्ष
फोटो उपलब्ध
--------------------------------------------------
</f>
        <v/>
      </c>
      <c r="G25">
        <f>== Voter 7 ===
EPIC: SPJ7080548
मकान संख्या: 55
उम्र: 40 वर्ष
फोटो उपलब्ध
--------------------------------------------------
</f>
        <v/>
      </c>
      <c r="H25">
        <f>== Voter 8 ===
EPIC: MFV0038786
मकान संख्या: 56
उम्र: 48 वर्ष
फोटो उपलब्ध
--------------------------------------------------
</f>
        <v/>
      </c>
      <c r="I25">
        <f>== Voter 9 ===
EPIC: MFV2564607
पिता का नाम: अगमलाल
मकान संख्या: 56
उम्र: 48 वर्ष
फोटो उपलब्ध
--------------------------------------------------
</f>
        <v/>
      </c>
      <c r="J25">
        <f>== Voter 10 ===
EPIC: PJ00373320
मकान संख्या: 56
उम्र: 44 वर्ष
फोटो उपलब्ध
--------------------------------------------------
</f>
        <v/>
      </c>
      <c r="K25">
        <f>== Voter 11 ===
EPIC: MFV0256205
मकान संख्या: 56
उम्र: 44 वर्ष
फोटो उपलब्ध
--------------------------------------------------
</f>
        <v/>
      </c>
      <c r="L25">
        <f>== Voter 12 ===
EPIC: MFV2562809
मकान संख्या: 56
उम्र: 27 वर्ष, लिंग: महिला
फोटो उपलब्ध
--------------------------------------------------
</f>
        <v/>
      </c>
      <c r="M25">
        <f>== Voter 13 ===
EPIC: SPJ2296838
उम्र: 27 वर्ष
फोटो उपलब्ध
--------------------------------------------------
</f>
        <v/>
      </c>
      <c r="N25">
        <f>== Voter 14 ===
EPIC: SPJ0590463
मकान संख्या: 56
उम्र: 29 वर्ष
फोटो उपलब्ध
--------------------------------------------------
</f>
        <v/>
      </c>
      <c r="O25">
        <f>== Voter 15 ===
EPIC: SPJ2952885
मकान संख्या: 56
उम्र: 37 वर्ष
फोटो उपलब्ध
--------------------------------------------------
</f>
        <v/>
      </c>
      <c r="P25">
        <f>== Voter 16 ===
EPIC: MFV0038679
मकान संख्या: 56
उम्र: 37 वर्ष
फोटो उपलब्ध
--------------------------------------------------
</f>
        <v/>
      </c>
      <c r="Q25">
        <f>== Voter 17 ===
EPIC: MFV0023648
मकान संख्या: 56
उम्र: 37 वर्ष
फोटो उपलब्ध
--------------------------------------------------
</f>
        <v/>
      </c>
      <c r="R25">
        <f>== Voter 18 ===
EPIC: SPJ0635853
मकान संख्या: 57
उम्र: 65 वर्ष
फोटो उपलब्ध
--------------------------------------------------
</f>
        <v/>
      </c>
      <c r="S25">
        <f>== Voter 19 ===
EPIC: SPU2477756
मकान संख्या: 57
उम्र: 65 वर्ष
फोटो उपलब्ध
--------------------------------------------------
</f>
        <v/>
      </c>
      <c r="T25">
        <f>== Voter 20 ===
EPIC: SPJ2064608
मकान संख्या: 57
उम्र: 65 वर्ष
फोटो उपलब्ध
--------------------------------------------------
</f>
        <v/>
      </c>
      <c r="U25">
        <f>== Voter 21 ===
EPIC: MFV0038588
मकान संख्या: 57
उम्र: 48 वर्ष
फोटो उपलब्ध
--------------------------------------------------
</f>
        <v/>
      </c>
      <c r="V25">
        <f>== Voter 22 ===
EPIC: MFV0023309
मकान संख्या: 57
उम्र: 48 वर्ष
फोटो उपलब्ध
--------------------------------------------------
</f>
        <v/>
      </c>
      <c r="W25">
        <f>== Voter 23 ===
EPIC: MFV2562478
मकान संख्या: 58
उम्र: 48 वर्ष
फोटो उपलब्ध
--------------------------------------------------
</f>
        <v/>
      </c>
      <c r="X25" t="inlineStr"/>
      <c r="Y25" t="inlineStr"/>
      <c r="Z25" t="inlineStr"/>
      <c r="AA25" t="inlineStr"/>
      <c r="AB25" t="inlineStr"/>
    </row>
    <row r="26">
      <c r="A26">
        <f>== Voter 1 ===
EPIC: MFV0256385
निर्वाचक का नाम: आशा देवी
पति का नाम: रबिन्द्र यादव
मकान संख्या: 58
उम्र: 43 वर्ष
फोटो उपलब्ध
--------------------------------------------------
</f>
        <v/>
      </c>
      <c r="B26">
        <f>== Voter 2 ===
EPIC: SPJ2064676
मकान संख्या: 58
उम्र: 43 वर्ष
फोटो उपलब्ध
--------------------------------------------------
</f>
        <v/>
      </c>
      <c r="C26">
        <f>== Voter 3 ===
EPIC: SPJ2064632
निर्वाचक का नाम: मुलुर देवी
पति का नाम: सोनाय
मकान संख्या: 58
उम्र: 43 वर्ष, लिंग: महिला
फोटो उपलब्ध
--------------------------------------------------
</f>
        <v/>
      </c>
      <c r="D26">
        <f>== Voter 4 ===
EPIC: MFV0023259
निर्वाचक का नाम: रीना देवी
पति का नाम: रबिन्द्र यादव
उम्र: 43 वर्ष
--------------------------------------------------
</f>
        <v/>
      </c>
      <c r="E26">
        <f>== Voter 5 ===
EPIC: SPJ2926939
पिता का नाम: बलराम यादव
मकान संख्या: 58
उम्र: 67 वर्ष, लिंग: पुरुष
फोटो उपलब्ध
--------------------------------------------------
</f>
        <v/>
      </c>
      <c r="F26">
        <f>== Voter 6 ===
EPIC: SPJ2064624
निर्वाचक का नाम: अमेरिका देवी
मकान संख्या: 58
उम्र: 39 वर्ष, लिंग: ; महिला
फोटो उपलब्ध
--------------------------------------------------
</f>
        <v/>
      </c>
      <c r="G26">
        <f>== Voter 7 ===
EPIC: SPJ2064640
निर्वाचक का नाम: शिवनारायण यादव
पिता का नाम: राम प्रसाद यादव
मकान संख्या: 58
उम्र: 57 वर्ष, लिंग: पुरुष
फोटो उपलब्ध
--------------------------------------------------
</f>
        <v/>
      </c>
      <c r="H26">
        <f>== Voter 8 ===
EPIC: SPJ3037986
निर्वाचक का नाम: जालो देवी
पिता का नाम: ;; सौनाय यादव
उम्र: 39 वर्ष, लिंग: पुरुष
--------------------------------------------------
</f>
        <v/>
      </c>
      <c r="I26">
        <f>== Voter 9 ===
EPIC: SPJ0590497
निर्वाचक का नाम: Hert लाल यादव
पिता का नाम: पुहुपलाल
मकान संख्या: ; 59
उम्र: 57 वर्ष, लिंग: पुरुष
फोटो उपलब्ध
--------------------------------------------------
</f>
        <v/>
      </c>
      <c r="J26">
        <f>== Voter 10 ===
EPIC: SPJ0590489
निर्वाचक का नाम: केवल यादव
पिता का नाम: पुहुपलाल
मकान संख्या: 59
उम्र: 57 वर्ष, लिंग: पुरुष
फोटो उपलब्ध
--------------------------------------------------
</f>
        <v/>
      </c>
      <c r="K26">
        <f>== Voter 11 ===
EPIC: SPJ2878445
निर्वाचक का नाम: ; ओम प्रकाश यादव
पिता का नाम: केवल यादव
मकान संख्या: 59
उम्र: 57 वर्ष, लिंग: पुरुष
फोटो उपलब्ध
--------------------------------------------------
</f>
        <v/>
      </c>
      <c r="L26">
        <f>== Voter 12 ===
EPIC: SPJ2297596
निर्वाचक का नाम: ; रतन लाल यादव
पिता का नाम: अशर्फी यादव
मकान संख्या: 59
उम्र: 57 वर्ष, लिंग: पुरुष
फोटो उपलब्ध
--------------------------------------------------
</f>
        <v/>
      </c>
      <c r="M26">
        <f>== Voter 13 ===
EPIC: MFV2563302
पिता का नाम: पुहुपलाल
मकान संख्या: 59
फोटो उपलब्ध
--------------------------------------------------
</f>
        <v/>
      </c>
      <c r="N26">
        <f>== Voter 14 ===
EPIC: MFV0003835
निर्वाचक का नाम: ठेकनी देवी
पिता का नाम: पुहुपलाल
मकान संख्या: 59
उम्र: 65 वर्ष, लिंग: महिला
फोटो उपलब्ध
--------------------------------------------------
</f>
        <v/>
      </c>
      <c r="O26">
        <f>== Voter 15 ===
EPIC: MFV0022283
निर्वाचक का नाम: ; मंजुला देवी
मकान संख्या: 60
उम्र: 53 वर्ष, लिंग: महिला
फोटो उपलब्ध
--------------------------------------------------
</f>
        <v/>
      </c>
      <c r="P26">
        <f>== Voter 16 ===
EPIC: SPJ2477889
निर्वाचक का नाम: लोचन यादव
मकान संख्या: 60
उम्र: 50 वर्ष, लिंग: पुरुष
फोटो उपलब्ध
--------------------------------------------------
</f>
        <v/>
      </c>
      <c r="Q26">
        <f>== Voter 17 ===
EPIC: SPJ0247897
निर्वाचक का नाम: पूनम देवी
पिता का नाम: नेतीलाल यादव
मकान संख्या: 60
उम्र: 50 वर्ष, लिंग: महिला
फोटो उपलब्ध
--------------------------------------------------
</f>
        <v/>
      </c>
      <c r="R26">
        <f>== Voter 18 ===
EPIC: SPJ0858703
मकान संख्या: 60
उम्र: 28 वर्ष
फोटो उपलब्ध
--------------------------------------------------
</f>
        <v/>
      </c>
      <c r="S26">
        <f>== Voter 19 ===
EPIC: MFV0098855
मकान संख्या: 64
उम्र: 49 वर्ष
फोटो उपलब्ध
--------------------------------------------------
</f>
        <v/>
      </c>
      <c r="T26">
        <f>== Voter 20 ===
EPIC: MFV0026427
मकान संख्या: 6
उम्र: 49 वर्ष
फोटो उपलब्ध
--------------------------------------------------
</f>
        <v/>
      </c>
      <c r="U26">
        <f>== Voter 21 ===
EPIC: MFV0025825
मकान संख्या: 6
उम्र: 65 वर्ष
फोटो उपलब्ध
--------------------------------------------------
</f>
        <v/>
      </c>
      <c r="V26">
        <f>== Voter 22 ===
EPIC: MFV0026252
मकान संख्या: 6
उम्र: 47 वर्ष, लिंग: पुरुष
फोटो उपलब्ध
--------------------------------------------------
</f>
        <v/>
      </c>
      <c r="W26">
        <f>== Voter 23 ===
EPIC: MFV0026492
उम्र: 48 वर्ष
--------------------------------------------------
</f>
        <v/>
      </c>
      <c r="X26">
        <f>== Voter 24 ===
EPIC: MFV0024364
उम्र: 48 वर्ष
--------------------------------------------------
</f>
        <v/>
      </c>
      <c r="Y26">
        <f>== Voter 25 ===
EPIC: SPJ2972974
पति का नाम: लखन यादव॑
मकान संख्या: 6
उम्र: 48 वर्ष
फोटो उपलब्ध
--------------------------------------------------
</f>
        <v/>
      </c>
      <c r="Z26">
        <f>== Voter 26 ===
EPIC: SP20979784
मकान संख्या: 62
उम्र: 57 वर्ष
फोटो उपलब्ध
--------------------------------------------------
</f>
        <v/>
      </c>
      <c r="AA26" t="inlineStr"/>
      <c r="AB26" t="inlineStr"/>
    </row>
    <row r="27">
      <c r="A27">
        <f>== Voter 1 ===
EPIC: SPJ0785877
निर्वाचक का नाम: कपलेश्वर यादव
पिता का नाम: धोखन यादव
मकान संख्या: 62
उम्र: 57 वर्ष
फोटो उपलब्ध
--------------------------------------------------
</f>
        <v/>
      </c>
      <c r="B27">
        <f>== Voter 2 ===
EPIC: MFV0027409
निर्वाचक का नाम: सविता देवी
पति का नाम: ; अमृत यादव
मकान संख्या: 62
उम्र: 57 वर्ष
फोटो उपलब्ध
--------------------------------------------------
</f>
        <v/>
      </c>
      <c r="C27">
        <f>== Voter 3 ===
EPIC: SPJ2296788
निर्वाचक का नाम: दिलीप कुमार यादव
पिता का नाम: धोखन यादव
मकान संख्या: 62
उम्र: 57 वर्ष
फोटो उपलब्ध
--------------------------------------------------
</f>
        <v/>
      </c>
      <c r="D27">
        <f>== Voter 4 ===
EPIC: SPJ2064657
निर्वाचक का नाम: मनिका देवी
पिता का नाम: सुभकलाल
मकान संख्या: ; 62
उम्र: 27 वर्ष, लिंग: महिला
फोटो उपलब्ध
--------------------------------------------------
</f>
        <v/>
      </c>
      <c r="E27">
        <f>== Voter 5 ===
EPIC: SPJ2296796
निर्वाचक का नाम: फुलीया देवी
पिता का नाम: सुभकलाल
मकान संख्या: ; 62
उम्र: 32 वर्ष, लिंग: ; महिला
फोटो उपलब्ध
--------------------------------------------------
</f>
        <v/>
      </c>
      <c r="F27">
        <f>== Voter 6 ===
EPIC: SPJ2296804
निर्वाचक का नाम: ; असियादेवी
पिता का नाम: सुभकलाल
उम्र: 27 वर्ष, लिंग: पुरुष
--------------------------------------------------
</f>
        <v/>
      </c>
      <c r="G27">
        <f>== Voter 7 ===
EPIC: PJ858729
निर्वाचक का नाम: वाबु नंद यादव
पिता का नाम: ;; राम देव यादव
उम्र: 27 वर्ष, लिंग: पुरुष
--------------------------------------------------
</f>
        <v/>
      </c>
      <c r="H27">
        <f>== Voter 8 ===
EPIC: MFV0026534
निर्वाचक का नाम: शिव नारायण यादव
पिता का नाम: रामेशवर यादव
मकान संख्या: 63
उम्र: 57 वर्ष, लिंग: पुरुष
फोटो उपलब्ध
--------------------------------------------------
</f>
        <v/>
      </c>
      <c r="I27">
        <f>== Voter 9 ===
EPIC: MFV0097733
निर्वाचक का नाम: फुदनी देवी
पिता का नाम: रामेशवर यादव
मकान संख्या: 63
उम्र: 54 वर्ष, लिंग: महिला
फोटो उपलब्ध
--------------------------------------------------
</f>
        <v/>
      </c>
      <c r="J27">
        <f>== Voter 10 ===
EPIC: SPJ0044300
निर्वाचक का नाम: पूनम देवी
पिता का नाम: धरमलाल यादव
मकान संख्या: 63
उम्र: 54 वर्ष, लिंग: महिला
फोटो उपलब्ध
--------------------------------------------------
</f>
        <v/>
      </c>
      <c r="K27">
        <f>== Voter 11 ===
EPIC: SPJ0292847
निर्वाचक का नाम: सीता देवी
पिता का नाम: राम देव यादव
मकान संख्या: 63
उम्र: 37 वर्ष, लिंग: महिला
फोटो उपलब्ध
--------------------------------------------------
</f>
        <v/>
      </c>
      <c r="L27">
        <f>== Voter 12 ===
EPIC: MFV2564474
निर्वाचक का नाम: ; लक्ष्मी यादव
पिता का नाम: धरमलाल
मकान संख्या: 65 फ़ोटो उपलब्ध
उम्र: 29 वर्ष, लिंग: ; पुरुष
--------------------------------------------------
</f>
        <v/>
      </c>
      <c r="M27">
        <f>== Voter 13 ===
EPIC: SPJ0705665
निर्वाचक का नाम: नीलम देवी
पिता का नाम: रामेश्वर यादव
मकान संख्या: 64
उम्र: 29 वर्ष, लिंग: पुरुष
फोटो उपलब्ध
--------------------------------------------------
</f>
        <v/>
      </c>
      <c r="N27">
        <f>== Voter 14 ===
EPIC: SPJ0858737
निर्वाचक का नाम: ; लखन यादव
पिता का नाम: बच्चुयादव
मकान संख्या: 64
उम्र: 57 वर्ष, लिंग: पुरुष
फोटो उपलब्ध
--------------------------------------------------
</f>
        <v/>
      </c>
      <c r="O27">
        <f>== Voter 15 ===
EPIC: PJ00705657
निर्वाचक का नाम: संजय यादव
पिता का नाम: बातहू यादव
मकान संख्या: 65
उम्र: 57 वर्ष, लिंग: पुरुष
फोटो उपलब्ध
--------------------------------------------------
</f>
        <v/>
      </c>
      <c r="P27">
        <f>== Voter 16 ===
EPIC: MFV2562833
मकान संख्या: 64
उम्र: 36 वर्ष
फोटो उपलब्ध
--------------------------------------------------
</f>
        <v/>
      </c>
      <c r="Q27">
        <f>== Voter 17 ===
EPIC: MFV2563765
उम्र: 55 वर्ष
--------------------------------------------------
</f>
        <v/>
      </c>
      <c r="R27">
        <f>== Voter 18 ===
EPIC: SPJ2506897
उम्र: 55 वर्ष
--------------------------------------------------
</f>
        <v/>
      </c>
      <c r="S27">
        <f>== Voter 19 ===
EPIC: SPJ0059052
मकान संख्या: 65
उम्र: 55 वर्ष
फोटो उपलब्ध
--------------------------------------------------
</f>
        <v/>
      </c>
      <c r="T27">
        <f>== Voter 20 ===
EPIC: SPJ0590573
--------------------------------------------------
</f>
        <v/>
      </c>
      <c r="U27">
        <f>== Voter 21 ===
EPIC: SPJ2064673
--------------------------------------------------
</f>
        <v/>
      </c>
      <c r="V27">
        <f>== Voter 22 ===
EPIC: SPJ0762962
मकान संख्या: 65
उम्र: 28 वर्ष
फोटो उपलब्ध
--------------------------------------------------
</f>
        <v/>
      </c>
      <c r="W27">
        <f>== Voter 23 ===
EPIC: MFV0737545
मकान संख्या: ; 65
उम्र: 35 वर्ष
फोटो उपलब्ध
--------------------------------------------------
</f>
        <v/>
      </c>
      <c r="X27">
        <f>== Voter 24 ===
EPIC: SPJ2297622
मकान संख्या: 66
उम्र: 69 वर्ष
फोटो उपलब्ध
--------------------------------------------------
</f>
        <v/>
      </c>
      <c r="Y27" t="inlineStr"/>
      <c r="Z27" t="inlineStr"/>
      <c r="AA27" t="inlineStr"/>
      <c r="AB27" t="inlineStr"/>
    </row>
    <row r="28">
      <c r="A28">
        <f>== Voter 1 ===
EPIC: MFV0038257
निर्वाचक का नाम: ; दुलारी देवी
पति का नाम: रामचरन पति का नाम लखन यादव पिता का नाम बच्चुयादव
मकान संख्या: 66
उम्र: 67 वर्ष
फोटो उपलब्ध
--------------------------------------------------
</f>
        <v/>
      </c>
      <c r="B28">
        <f>== Voter 2 ===
EPIC: MFV0735399
निर्वाचक का नाम: ; कमली देवी
पिता का नाम: रामचरन
मकान संख्या: 66
उम्र: 50 वर्ष, लिंग: पुरुष
फोटो उपलब्ध
--------------------------------------------------
</f>
        <v/>
      </c>
      <c r="C28">
        <f>== Voter 3 ===
EPIC: SPJ0858752
निर्वाचक का नाम: ; बिनिता यादव
पिता का नाम: लखन यादव
मकान संख्या: 66
उम्र: 50 वर्ष, लिंग: पुरुष
फोटो उपलब्ध
--------------------------------------------------
</f>
        <v/>
      </c>
      <c r="D28">
        <f>== Voter 4 ===
EPIC: PJ00372967
निर्वाचक का नाम: वीरेन्द्र कुमार यादव
पिता का नाम: लखन यादव
मकान संख्या: 66
उम्र: 50 वर्ष, लिंग: पुरुष
फोटो उपलब्ध
--------------------------------------------------
</f>
        <v/>
      </c>
      <c r="E28">
        <f>== Voter 5 ===
EPIC: MFV0027599
निर्वाचक का नाम: पूजा कुमारी
पिता का नाम: शिव चरण यादव
मकान संख्या: ; 66 फ़ोटो उपलब्ध
उम्र: 44 वर्ष, लिंग: महिला
--------------------------------------------------
</f>
        <v/>
      </c>
      <c r="F28">
        <f>== Voter 6 ===
EPIC: MFV0029579
निर्वाचक का नाम: ; ममता देवी
पिता का नाम: दशरथ यादव
मकान संख्या: 66
उम्र: 48 वर्ष, लिंग: महिला
फोटो उपलब्ध
--------------------------------------------------
</f>
        <v/>
      </c>
      <c r="G28">
        <f>== Voter 7 ===
EPIC: MFV0027656
निर्वाचक का नाम: उम्दा देवी
पति का नाम: दशरथ यादव
मकान संख्या: 66
उम्र: 57 वर्ष, लिंग: महिला
फोटो उपलब्ध
--------------------------------------------------
</f>
        <v/>
      </c>
      <c r="H28">
        <f>== Voter 8 ===
EPIC: SPJ2506889
निर्वाचक का नाम: उषा देवी
मकान संख्या: 66
फोटो उपलब्ध
--------------------------------------------------
</f>
        <v/>
      </c>
      <c r="I28">
        <f>== Voter 9 ===
EPIC: SPJ2506905
निर्वाचक का नाम: छोटू यादव
पिता का नाम: दशरथ यादव
मकान संख्या: 66
उम्र: 42 वर्ष, लिंग: महिला
फोटो उपलब्ध
--------------------------------------------------
</f>
        <v/>
      </c>
      <c r="J28">
        <f>== Voter 10 ===
EPIC: SPJ0032835
निर्वाचक का नाम: गुडकी देवी
पिता का नाम: दशरथ यादव
मकान संख्या: ; 66
उम्र: 38 वर्ष, लिंग: पुरुष
फोटो उपलब्ध
--------------------------------------------------
</f>
        <v/>
      </c>
      <c r="K28">
        <f>== Voter 11 ===
EPIC: SPJ0032959
निर्वाचक का नाम: बुधेश्वर यादव
पिता का नाम: वासुदेव
मकान संख्या: ; 66
उम्र: 38 वर्ष, लिंग: पुरुष
फोटो उपलब्ध
--------------------------------------------------
</f>
        <v/>
      </c>
      <c r="L28">
        <f>== Voter 12 ===
EPIC: PJ20506927
निर्वाचक का नाम: भागिया देवी
पिता का नाम: वासुदेव
मकान संख्या: ; 66
उम्र: 37 वर्ष, लिंग: महिला
फोटो उपलब्ध
--------------------------------------------------
</f>
        <v/>
      </c>
      <c r="M28">
        <f>== Voter 13 ===
EPIC: SPJ7858760
उम्र: 24 वर्ष
--------------------------------------------------
</f>
        <v/>
      </c>
      <c r="N28">
        <f>== Voter 14 ===
EPIC: SPJ2064707
मकान संख्या: 67
उम्र: 24 वर्ष
फोटो उपलब्ध
--------------------------------------------------
</f>
        <v/>
      </c>
      <c r="O28">
        <f>== Voter 15 ===
EPIC: SPJ0590539
मकान संख्या: 67
उम्र: 48 वर्ष
फोटो उपलब्ध
--------------------------------------------------
</f>
        <v/>
      </c>
      <c r="P28">
        <f>== Voter 16 ===
EPIC: SPJ2064723
उम्र: 57 वर्ष
--------------------------------------------------
</f>
        <v/>
      </c>
      <c r="Q28">
        <f>== Voter 17 ===
EPIC: SPJ2064699
पिता का नाम: दशरथ यादव
मकान संख्या: 67
फोटो उपलब्ध
--------------------------------------------------
</f>
        <v/>
      </c>
      <c r="R28">
        <f>== Voter 18 ===
EPIC: MFV0026753
मकान संख्या: 67
उम्र: 52 वर्ष, लिंग: पुरुष
फोटो उपलब्ध
--------------------------------------------------
</f>
        <v/>
      </c>
      <c r="S28">
        <f>== Voter 19 ===
EPIC: PJ00442723
मकान संख्या: 67
उम्र: 52 वर्ष, लिंग: पुरुष
फोटो उपलब्ध
--------------------------------------------------
</f>
        <v/>
      </c>
      <c r="T28">
        <f>== Voter 20 ===
EPIC: SPJI695246
मकान संख्या: 68
फोटो उपलब्ध
--------------------------------------------------
</f>
        <v/>
      </c>
      <c r="U28">
        <f>== Voter 21 ===
EPIC: MFV0024398
पिता का नाम: देवनारायण यादव
मकान संख्या: 68
उम्र: 49 वर्ष
फोटो उपलब्ध
--------------------------------------------------
</f>
        <v/>
      </c>
      <c r="V28">
        <f>== Voter 22 ===
EPIC: MFV0000545
मकान संख्या: 68
उम्र: 57 वर्ष
फोटो उपलब्ध
--------------------------------------------------
</f>
        <v/>
      </c>
      <c r="W28" t="inlineStr"/>
      <c r="X28" t="inlineStr"/>
      <c r="Y28" t="inlineStr"/>
      <c r="Z28" t="inlineStr"/>
      <c r="AA28" t="inlineStr"/>
      <c r="AB28" t="inlineStr"/>
    </row>
    <row r="29">
      <c r="A29">
        <f>== Voter 1 ===
EPIC: MFV0025866
निर्वाचक का नाम: ; शंभू यादव
पिता का नाम: वासुदेव पति का नाम उमेश यादव प्रति का नाम फरेवी यादव
मकान संख्या: 68
उम्र: 46 वर्ष
फोटो उपलब्ध
--------------------------------------------------
</f>
        <v/>
      </c>
      <c r="B29">
        <f>== Voter 2 ===
EPIC: PJ70762236
निर्वाचक का नाम: सितिया देवी
पति का नाम: ; उपेन्द्र यादव
मकान संख्या: 68
उम्र: 46 वर्ष, लिंग: महिला
फोटो उपलब्ध
--------------------------------------------------
</f>
        <v/>
      </c>
      <c r="C29">
        <f>== Voter 3 ===
EPIC: MFV0026849
निर्वाचक का नाम: राजोदेवी
पति का नाम: शंभू यादव
मकान संख्या: ; 68
उम्र: 44 वर्ष, लिंग: महिला
फोटो उपलब्ध
--------------------------------------------------
</f>
        <v/>
      </c>
      <c r="D29">
        <f>== Voter 4 ===
EPIC: SPUI755396
पिता का नाम: दशरथ यादव
मकान संख्या: ; 68
उम्र: 44 वर्ष, लिंग: पुरुष
फोटो उपलब्ध
--------------------------------------------------
</f>
        <v/>
      </c>
      <c r="E29">
        <f>== Voter 5 ===
EPIC: SPJ2477855
मकान संख्या: 68
उम्र: 45 वर्ष
फोटो उपलब्ध
--------------------------------------------------
</f>
        <v/>
      </c>
      <c r="F29">
        <f>== Voter 6 ===
EPIC: SPJ2420578
निर्वाचक का नाम: देवकृष्ण यादव
पिता का नाम: महेन्द्र यादव
मकान संख्या: 68
उम्र: 45 वर्ष, लिंग: पुरुष
फोटो उपलब्ध
--------------------------------------------------
</f>
        <v/>
      </c>
      <c r="G29">
        <f>== Voter 7 ===
EPIC: MFV0098756
निर्वाचक का नाम: खैकी देवी
पिता का नाम: बच्ची यादव
मकान संख्या: 68
उम्र: 45 वर्ष, लिंग: महिला
फोटो उपलब्ध
--------------------------------------------------
</f>
        <v/>
      </c>
      <c r="H29">
        <f>== Voter 8 ===
EPIC: SPJ7858794
निर्वाचक का नाम: सुशीला देवी
पिता का नाम: रामनाथ
मकान संख्या: 69
उम्र: 49 वर्ष, लिंग: महिला
फोटो उपलब्ध
--------------------------------------------------
</f>
        <v/>
      </c>
      <c r="I29">
        <f>== Voter 9 ===
EPIC: SPJ0769559
निर्वाचक का नाम: ; मीना देवी
पिता का नाम: राम नाथ
मकान संख्या: 69
उम्र: 49 वर्ष, लिंग: महिला
फोटो उपलब्ध
--------------------------------------------------
</f>
        <v/>
      </c>
      <c r="J29">
        <f>== Voter 10 ===
EPIC: SPJ7695345
निर्वाचक का नाम: जयराम यादव
पिता का नाम: राम नाथ
मकान संख्या: 69
उम्र: 70 वर्ष, लिंग: पुरुष
फोटो उपलब्ध
--------------------------------------------------
</f>
        <v/>
      </c>
      <c r="K29">
        <f>== Voter 11 ===
EPIC: MFV0002370
निर्वाचक का नाम: ; फागुयादव
पिता का नाम: बुधु यादव
मकान संख्या: 69
उम्र: 70 वर्ष, लिंग: पुरुष
फोटो उपलब्ध
--------------------------------------------------
</f>
        <v/>
      </c>
      <c r="L29">
        <f>== Voter 12 ===
EPIC: MFV2564409
निर्वाचक का नाम: विना देवी
पिता का नाम: खुशीलाल यादव
उम्र: 47 वर्ष, लिंग: ! : पुरुष
--------------------------------------------------
</f>
        <v/>
      </c>
      <c r="M29">
        <f>== Voter 13 ===
EPIC: SPJ7858786
निर्वाचक का नाम: ; Satter यादव
पिता का नाम: कामेश्वर यादव
मकान संख्या: 69
उम्र: 47 वर्ष
फोटो उपलब्ध
--------------------------------------------------
</f>
        <v/>
      </c>
      <c r="N29">
        <f>== Voter 14 ===
EPIC: PJ00590547
निर्वाचक का नाम: जीहरी यादव
पिता का नाम: सुवी यादव
मकान संख्या: 69
उम्र: 42 वर्ष, लिंग: महिला
फोटो उपलब्ध
--------------------------------------------------
</f>
        <v/>
      </c>
      <c r="O29">
        <f>== Voter 15 ===
EPIC: PJ00373789
मकान संख्या: 69
उम्र: 46 वर्ष
फोटो उपलब्ध
--------------------------------------------------
</f>
        <v/>
      </c>
      <c r="P29">
        <f>== Voter 16 ===
EPIC: MFV2564425
पिता का नाम: राम नाथ
मकान संख्या: 69
उम्र: 42 वर्ष
फोटो उपलब्ध
--------------------------------------------------
</f>
        <v/>
      </c>
      <c r="Q29">
        <f>== Voter 17 ===
EPIC: MFV0038672
मकान संख्या: 69
उम्र: 42 वर्ष
फोटो उपलब्ध
--------------------------------------------------
</f>
        <v/>
      </c>
      <c r="R29">
        <f>== Voter 18 ===
EPIC: SPJ0443278
मकान संख्या: 69
उम्र: 42 वर्ष
फोटो उपलब्ध
--------------------------------------------------
</f>
        <v/>
      </c>
      <c r="S29">
        <f>== Voter 19 ===
EPIC: MFV0027623
मकान संख्या: 69
उम्र: 42 वर्ष
फोटो उपलब्ध
--------------------------------------------------
</f>
        <v/>
      </c>
      <c r="T29">
        <f>== Voter 20 ===
EPIC: SPJ2434850
मकान संख्या: ; 70
उम्र: 48 वर्ष
फोटो उपलब्ध
--------------------------------------------------
</f>
        <v/>
      </c>
      <c r="U29">
        <f>== Voter 21 ===
EPIC: MFV0256250
मकान संख्या: ; 70
उम्र: 48 वर्ष
फोटो उपलब्ध
--------------------------------------------------
</f>
        <v/>
      </c>
      <c r="V29">
        <f>== Voter 22 ===
EPIC: SPJ7858802
मकान संख्या: ; 70
उम्र: 48 वर्ष
फोटो उपलब्ध
--------------------------------------------------
</f>
        <v/>
      </c>
      <c r="W29">
        <f>== Voter 23 ===
EPIC: SPJ7678933
मकान संख्या: 70
फोटो उपलब्ध
--------------------------------------------------
</f>
        <v/>
      </c>
      <c r="X29">
        <f>== Voter 24 ===
EPIC: MFV0026856
मकान संख्या: ; 77
उम्र: 42 वर्ष, लिंग: ; पुरुष
फोटो उपलब्ध
--------------------------------------------------
</f>
        <v/>
      </c>
      <c r="Y29" t="inlineStr"/>
      <c r="Z29" t="inlineStr"/>
      <c r="AA29" t="inlineStr"/>
      <c r="AB29" t="inlineStr"/>
    </row>
    <row r="30">
      <c r="A30">
        <f>== Voter 1 ===
EPIC: SPJ0590554
निर्वाचक का नाम: र॑भा देवी
पति का नाम: सुबोध यादव पिता का नाम लक्ष्मण यादव प्रति का नाम गजेन्द्र यादव
मकान संख्या: 77
फोटो उपलब्ध
--------------------------------------------------
</f>
        <v/>
      </c>
      <c r="B30">
        <f>== Voter 2 ===
EPIC: PJ70753708
निर्वाचक का नाम: अशोक कुमार
पिता का नाम: गुनेशवर
मकान संख्या: 77
उम्र: 48 वर्ष, लिंग: पुरुष
फोटो उपलब्ध
--------------------------------------------------
</f>
        <v/>
      </c>
      <c r="C30">
        <f>== Voter 3 ===
EPIC: PJ70753748
पिता का नाम: गुणेश्वर यादव
मकान संख्या: 77
उम्र: 49 वर्ष, लिंग: पुरुष
फोटो उपलब्ध
--------------------------------------------------
</f>
        <v/>
      </c>
      <c r="D30">
        <f>== Voter 4 ===
EPIC: MFV2564244
निर्वाचक का नाम: चांदनी कुमार यादव
पति का नाम: ; अशोक कुमार
मकान संख्या: 72
उम्र: 48 वर्ष, लिंग: महिला
फोटो उपलब्ध
--------------------------------------------------
</f>
        <v/>
      </c>
      <c r="E30">
        <f>== Voter 5 ===
EPIC: MFV0026246
निर्वाचक का नाम: संजू देवी
पिता का नाम: कामेश्वर यादव
मकान संख्या: 72
उम्र: 49 वर्ष, लिंग: महिला
फोटो उपलब्ध
--------------------------------------------------
</f>
        <v/>
      </c>
      <c r="F30">
        <f>== Voter 6 ===
EPIC: CBA8737527
निर्वाचक का नाम: ; आशा देवी
पिता का नाम: कामेश्वर यादव
उम्र: 45 वर्ष, लिंग: पुरुष
--------------------------------------------------
</f>
        <v/>
      </c>
      <c r="G30">
        <f>== Voter 7 ===
EPIC: MFV2563807
निर्वाचक का नाम: सुमरित यादव
पिता का नाम: गंगा राम यादव
मकान संख्या: ; 72
उम्र: 43 वर्ष, लिंग: महिला
फोटो उपलब्ध
--------------------------------------------------
</f>
        <v/>
      </c>
      <c r="H30">
        <f>== Voter 8 ===
EPIC: PJ775382
निर्वाचक का नाम: ; रमोद कुमार यादव
पिता का नाम: गंगा राम
मकान संख्या: ; 72
उम्र: 43 वर्ष, लिंग: महिला
फोटो उपलब्ध
--------------------------------------------------
</f>
        <v/>
      </c>
      <c r="I30">
        <f>== Voter 9 ===
EPIC: MFV0096883
पिता का नाम: गंगा राम
मकान संख्या: 73 फ़ोटो उपलब्ध
उम्र: 43 वर्ष, लिंग: पुरुष
--------------------------------------------------
</f>
        <v/>
      </c>
      <c r="J30">
        <f>== Voter 10 ===
EPIC: SPJ0306587
निर्वाचक का नाम: श्यामबती देवी
पिता का नाम: भागवान यादव
मकान संख्या: 73
उम्र: 58 वर्ष, लिंग: महिला
फोटो उपलब्ध
--------------------------------------------------
</f>
        <v/>
      </c>
      <c r="K30">
        <f>== Voter 11 ===
EPIC: MFV0003866
निर्वाचक का नाम: ; कविता देवी
पति का नाम: विनोद यादव
मकान संख्या: 73
उम्र: 58 वर्ष, लिंग: महिला
फोटो उपलब्ध
--------------------------------------------------
</f>
        <v/>
      </c>
      <c r="L30">
        <f>== Voter 12 ===
EPIC: MFV0023366
निर्वाचक का नाम: ; राज कुमार यादव
पिता का नाम: झोटन यादव
मकान संख्या: 73
उम्र: 62 वर्ष, लिंग: पुरुष
फोटो उपलब्ध
--------------------------------------------------
</f>
        <v/>
      </c>
      <c r="M30">
        <f>== Voter 13 ===
EPIC: MFV0256428
निर्वाचक का नाम: शिवनरायण यादव निर्वाचक का नाम ; अनुरागौदेवी
पिता का नाम: लुटन यादव प्रति का नाम शिवनरायण
मकान संख्या: 73
उम्र: 48 वर्ष, लिंग: ; पुरुष
फोटो उपलब्ध
--------------------------------------------------
</f>
        <v/>
      </c>
      <c r="N30">
        <f>== Voter 14 ===
EPIC: SPJ0037289
मकान संख्या: 73
फोटो उपलब्ध
--------------------------------------------------
</f>
        <v/>
      </c>
      <c r="O30">
        <f>== Voter 15 ===
EPIC: MFV0256458
पिता का नाम: भागवान यादव
मकान संख्या: 73
उम्र: 42 वर्ष
फोटो उपलब्ध
--------------------------------------------------
</f>
        <v/>
      </c>
      <c r="P30">
        <f>== Voter 16 ===
EPIC: MFV0023358
उम्र: 42 वर्ष
--------------------------------------------------
</f>
        <v/>
      </c>
      <c r="Q30">
        <f>== Voter 17 ===
EPIC: SPJ2735347
मकान संख्या: 73
उम्र: 39 वर्ष, लिंग: महिला
फोटो उपलब्ध
--------------------------------------------------
</f>
        <v/>
      </c>
      <c r="R30">
        <f>== Voter 18 ===
EPIC: PJ236333
मकान संख्या: 73
उम्र: 49 वर्ष
फोटो उपलब्ध
--------------------------------------------------
</f>
        <v/>
      </c>
      <c r="S30">
        <f>== Voter 19 ===
EPIC: PJ206473
मकान संख्या: 73
उम्र: 49 वर्ष
फोटो उपलब्ध
--------------------------------------------------
</f>
        <v/>
      </c>
      <c r="T30">
        <f>== Voter 20 ===
EPIC: SPJ2064749
मकान संख्या: 73
उम्र: 38 वर्ष, लिंग: महिला
फोटो उपलब्ध
--------------------------------------------------
</f>
        <v/>
      </c>
      <c r="U30">
        <f>== Voter 21 ===
EPIC: SPJ0230839
मकान संख्या: 73
उम्र: 53 वर्ष, लिंग: पुरुष
फोटो उपलब्ध
--------------------------------------------------
</f>
        <v/>
      </c>
      <c r="V30">
        <f>== Voter 22 ===
EPIC: PJ70762269
मकान संख्या: 73
उम्र: 48 वर्ष
फोटो उपलब्ध
--------------------------------------------------
</f>
        <v/>
      </c>
      <c r="W30">
        <f>== Voter 23 ===
EPIC: MFV0096222
--------------------------------------------------
</f>
        <v/>
      </c>
      <c r="X30">
        <f>== Voter 24 ===
EPIC: SPJ0785880
मकान संख्या: 74
उम्र: 30 वर्ष
फोटो उपलब्ध
--------------------------------------------------
</f>
        <v/>
      </c>
      <c r="Y30" t="inlineStr"/>
      <c r="Z30" t="inlineStr"/>
      <c r="AA30" t="inlineStr"/>
      <c r="AB30" t="inlineStr"/>
    </row>
    <row r="31">
      <c r="A31">
        <f>== Voter 1 ===
EPIC: PJ20434793
निर्वाचक का नाम: दीपक यादव
पिता का नाम: शिव नारायण यादव पिता का नाम राम
मकान संख्या: 74
उम्र: 29 वर्ष
फोटो उपलब्ध
--------------------------------------------------
</f>
        <v/>
      </c>
      <c r="B31">
        <f>== Voter 2 ===
EPIC: SPJ2420586
पति का नाम: बैद्यनाथ
मकान संख्या: 74
उम्र: 29 वर्ष, लिंग: महिला
फोटो उपलब्ध
--------------------------------------------------
</f>
        <v/>
      </c>
      <c r="C31">
        <f>== Voter 3 ===
EPIC: PJ285390
निर्वाचक का नाम: बैद्यनाथ यादव
पिता का नाम: सहदेव यादव
मकान संख्या: 74
उम्र: 29 वर्ष, लिंग: पुरुष
फोटो उपलब्ध
--------------------------------------------------
</f>
        <v/>
      </c>
      <c r="D31">
        <f>== Voter 4 ===
EPIC: MFV0098350
पति का नाम: श्याम
मकान संख्या: ; 75
उम्र: 52 वर्ष, लिंग: महिला
फोटो उपलब्ध
--------------------------------------------------
</f>
        <v/>
      </c>
      <c r="E31">
        <f>== Voter 5 ===
EPIC: SPJ2853979
निर्वाचक का नाम: अगमवती देवी
पिता का नाम: सहदेव यादव
मकान संख्या: ; 75
उम्र: 57 वर्ष, लिंग: महिला
फोटो उपलब्ध
--------------------------------------------------
</f>
        <v/>
      </c>
      <c r="F31">
        <f>== Voter 6 ===
EPIC: MFV0500995
निर्वाचक का नाम: नैना देवी
मकान संख्या: 74
उम्र: 48 वर्ष, लिंग: महिला
फोटो उपलब्ध
--------------------------------------------------
</f>
        <v/>
      </c>
      <c r="G31">
        <f>== Voter 7 ===
EPIC: SPJ7858836
निर्वाचक का नाम: देवंती यादव
पिता का नाम: बैधनाथ यादव पिता का नाम अनुपलाल पति का नाम खोनाई यादव
मकान संख्या: 75
उम्र: 48 वर्ष, लिंग: महिला
फोटो उपलब्ध
--------------------------------------------------
</f>
        <v/>
      </c>
      <c r="H31">
        <f>== Voter 8 ===
EPIC: SPJ0373049
निर्वाचक का नाम: रामसागर यादव
पिता का नाम: गंगा यादव
उम्र: 46 वर्ष, लिंग: पुरुष
--------------------------------------------------
</f>
        <v/>
      </c>
      <c r="I31">
        <f>== Voter 9 ===
EPIC: MFV0027300
निर्वाचक का नाम: बैधनाथ यादव
पति का नाम: राम सागर
मकान संख्या: 75
उम्र: 45 वर्ष, लिंग: महिला
फोटो उपलब्ध
--------------------------------------------------
</f>
        <v/>
      </c>
      <c r="J31">
        <f>== Voter 10 ===
EPIC: SPJ2064756
निर्वाचक का नाम: भागवत राय
पिता का नाम: अनूप राय
मकान संख्या: 76
उम्र: 45 वर्ष, लिंग: पुरुष
फोटो उपलब्ध
--------------------------------------------------
</f>
        <v/>
      </c>
      <c r="K31">
        <f>== Voter 11 ===
EPIC: SPJ7858844
निर्वाचक का नाम: ; शिव नारायण राय
पिता का नाम: अनूप राय
मकान संख्या: 76
उम्र: 45 वर्ष, लिंग: पुरुष
फोटो उपलब्ध
--------------------------------------------------
</f>
        <v/>
      </c>
      <c r="L31">
        <f>== Voter 12 ===
EPIC: MFV0026906
निर्वाचक का नाम: रंजीत कुमार यादव
पिता का नाम: शिव नारायण यादव फादर
मकान संख्या: ; 77
उम्र: 62 वर्ष, लिंग: पुरुष
फोटो उपलब्ध
--------------------------------------------------
</f>
        <v/>
      </c>
      <c r="M31">
        <f>== Voter 13 ===
EPIC: SPJ2236867
निर्वाचक का नाम: ब्रेचनी देवी
पिता का नाम: वजरंगी राय
मकान संख्या: 79 फ़ोंटो उपलब्ध
उम्र: 57 वर्ष, लिंग: महिला
--------------------------------------------------
</f>
        <v/>
      </c>
      <c r="N31">
        <f>== Voter 14 ===
EPIC: SPJ2477905
मकान संख्या: 77
उम्र: 57 वर्ष
फोटो उपलब्ध
--------------------------------------------------
</f>
        <v/>
      </c>
      <c r="O31">
        <f>== Voter 15 ===
EPIC: MFV0027227
उम्र: 57 वर्ष
--------------------------------------------------
</f>
        <v/>
      </c>
      <c r="P31">
        <f>== Voter 16 ===
EPIC: MFV0098285
उम्र: 57 वर्ष
--------------------------------------------------
</f>
        <v/>
      </c>
      <c r="Q31">
        <f>== Voter 17 ===
EPIC: MFV0097477
मकान संख्या: 78
उम्र: 49 वर्ष, लिंग: महिला
फोटो उपलब्ध
--------------------------------------------------
</f>
        <v/>
      </c>
      <c r="R31">
        <f>== Voter 18 ===
EPIC: SPJ2976732
मकान संख्या: ; 78
उम्र: 52 वर्ष
फोटो उपलब्ध
--------------------------------------------------
</f>
        <v/>
      </c>
      <c r="S31">
        <f>== Voter 19 ===
EPIC: SPJ0296765
पति का नाम: रंजीत कुमार यादव
मकान संख्या: ; 78
उम्र: 52 वर्ष
फोटो उपलब्ध
--------------------------------------------------
</f>
        <v/>
      </c>
      <c r="T31">
        <f>== Voter 20 ===
EPIC: PJ032553
मकान संख्या: 78
फोटो उपलब्ध
--------------------------------------------------
</f>
        <v/>
      </c>
      <c r="U31">
        <f>== Voter 21 ===
EPIC: SPJ7636950
मकान संख्या: 78
फोटो उपलब्ध
--------------------------------------------------
</f>
        <v/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>
        <f>== Voter 1 ===
EPIC: MFV0098269
निर्वाचक का नाम: ; बैचनी देवी
पति का नाम: बौधनारायण पति का नाम देवनाथ राय प्रति का नाम गणेश कुमार राय
मकान संख्या: 80
उम्र: 64 वर्ष
फोटो उपलब्ध
--------------------------------------------------
</f>
        <v/>
      </c>
      <c r="B32">
        <f>== Voter 2 ===
EPIC: PJ087572
मकान संख्या: 80
उम्र: 64 वर्ष
फोटो उपलब्ध
--------------------------------------------------
</f>
        <v/>
      </c>
      <c r="C32">
        <f>== Voter 3 ===
EPIC: SPJ2064772
निर्वाचक का नाम: पवन कुमार राय
पिता का नाम: बजरंगी राय
मकान संख्या: 80
उम्र: 64 वर्ष, लिंग: पुरुष
फोटो उपलब्ध
--------------------------------------------------
</f>
        <v/>
      </c>
      <c r="D32">
        <f>== Voter 4 ===
EPIC: SPJ2064764
पिता का नाम: बोधनारायण राय
मकान संख्या: 80
उम्र: 64 वर्ष, लिंग: महिला
फोटो उपलब्ध
--------------------------------------------------
</f>
        <v/>
      </c>
      <c r="E32">
        <f>== Voter 5 ===
EPIC: MFV0009825
निर्वाचक का नाम: सीता देवी
पति का नाम: ; दौरिक लाल
मकान संख्या: 80
उम्र: 28 वर्ष, लिंग: महिला
फोटो उपलब्ध
--------------------------------------------------
</f>
        <v/>
      </c>
      <c r="F32">
        <f>== Voter 6 ===
EPIC: SPJ0785885
निर्वाचक का नाम: गिरजा देवी
पिता का नाम: दोरिक लाल
मकान संख्या: 80
उम्र: 42 वर्ष, लिंग: ; महिला
फोटो उपलब्ध
--------------------------------------------------
</f>
        <v/>
      </c>
      <c r="G32">
        <f>== Voter 7 ===
EPIC: MFV0098277
निर्वाचक का नाम: सुकनी देवी
पिता का नाम: दौरिकलाल
उम्र: 80 वर्ष, लिंग: ; महिला
--------------------------------------------------
</f>
        <v/>
      </c>
      <c r="H32">
        <f>== Voter 8 ===
EPIC: SPJ7636976
निर्वाचक का नाम: राजेंद्र कुमार राय
पिता का नाम: सत्यनारायणा राय
मकान संख्या: 82 फ़ोटो उपलब्ध
उम्र: 80 वर्ष, लिंग: पुरुष
--------------------------------------------------
</f>
        <v/>
      </c>
      <c r="I32">
        <f>== Voter 9 ===
EPIC: MFV0256378
निर्वाचक का नाम: ; अरूणा कुमारी
पिता का नाम: राजेन्द्र कुमार
मकान संख्या: 87
उम्र: 64 वर्ष, लिंग: पुरुष
फोटो उपलब्ध
--------------------------------------------------
</f>
        <v/>
      </c>
      <c r="J32">
        <f>== Voter 10 ===
EPIC: MFV0700628
निर्वाचक का नाम: दीपेश कुमार राय
पिता का नाम: राजेन्द्र कुमार राय
उम्र: 49 वर्ष, लिंग: पुरुष
--------------------------------------------------
</f>
        <v/>
      </c>
      <c r="K32">
        <f>== Voter 11 ===
EPIC: MFV0256063
निर्वाचक का नाम: कमला देवी
मकान संख्या: BI
उम्र: 49 वर्ष, लिंग: महिला
फोटो उपलब्ध
--------------------------------------------------
</f>
        <v/>
      </c>
      <c r="L32">
        <f>== Voter 12 ===
EPIC: MFV0096925
निर्वाचक का नाम: महँथी यादव
पिता का नाम: राम प्रसाद यादव
मकान संख्या: BI
उम्र: 49 वर्ष, लिंग: महिला
फोटो उपलब्ध
--------------------------------------------------
</f>
        <v/>
      </c>
      <c r="M32">
        <f>== Voter 13 ===
EPIC: SPJO777892
निर्वाचक का नाम: सीता देवी
पिता का नाम: गणरूप यादव
मकान संख्या: 84
उम्र: 48 वर्ष, लिंग: ! : पुरुष
फोटो उपलब्ध
--------------------------------------------------
</f>
        <v/>
      </c>
      <c r="N32">
        <f>== Voter 14 ===
EPIC: MFV0097360
निर्वाचक का नाम: ; रामेश्व॑र यादव
पिता का नाम: रामबिलास
मकान संख्या: 84
उम्र: 55 वर्ष, लिंग: पुरुष
फोटो उपलब्ध
--------------------------------------------------
</f>
        <v/>
      </c>
      <c r="O32">
        <f>== Voter 15 ===
EPIC: MFV2562585
निर्वाचक का नाम: इंदिरा देवी निर्वाचक का नाम ; हवेनकुमार यादव
मकान संख्या: ; 83
उम्र: 64 वर्ष
फोटो उपलब्ध
--------------------------------------------------
</f>
        <v/>
      </c>
      <c r="P32">
        <f>== Voter 16 ===
EPIC: SPJ0443226
मकान संख्या: ; 83
उम्र: 64 वर्ष
फोटो उपलब्ध
--------------------------------------------------
</f>
        <v/>
      </c>
      <c r="Q32">
        <f>== Voter 17 ===
EPIC: SPJ2064780
मकान संख्या: 83
उम्र: 27 वर्ष, लिंग: पुरुष
फोटो उपलब्ध
--------------------------------------------------
</f>
        <v/>
      </c>
      <c r="R32">
        <f>== Voter 18 ===
EPIC: SPJ0590562
मकान संख्या: 83
उम्र: 27 वर्ष
फोटो उपलब्ध
--------------------------------------------------
</f>
        <v/>
      </c>
      <c r="S32">
        <f>== Voter 19 ===
EPIC: PJ00372678
मकान संख्या: 84
उम्र: 55 वर्ष
फोटो उपलब्ध
--------------------------------------------------
</f>
        <v/>
      </c>
      <c r="T32">
        <f>== Voter 20 ===
EPIC: SPJ0032785
मकान संख्या: 84
उम्र: 55 वर्ष
फोटो उपलब्ध
--------------------------------------------------
</f>
        <v/>
      </c>
      <c r="U32">
        <f>== Voter 21 ===
EPIC: SPJ2064798
मकान संख्या: 84
उम्र: 55 वर्ष
फोटो उपलब्ध
--------------------------------------------------
</f>
        <v/>
      </c>
      <c r="V32">
        <f>== Voter 22 ===
EPIC: SPJ2064806
--------------------------------------------------
</f>
        <v/>
      </c>
      <c r="W32">
        <f>== Voter 23 ===
EPIC: MFV0500993
पिता का नाम: गणरूप यादव
मकान संख्या: 85
उम्र: 50 वर्ष
फोटो उपलब्ध
--------------------------------------------------
</f>
        <v/>
      </c>
      <c r="X32">
        <f>== Voter 24 ===
EPIC: MFV0098822
पिता का नाम: गणरूप यादव
मकान संख्या: 85
उम्र: 50 वर्ष
फोटो उपलब्ध
--------------------------------------------------
</f>
        <v/>
      </c>
      <c r="Y32">
        <f>== Voter 25 ===
EPIC: MFV0028746
मकान संख्या: 84
उम्र: 72 वर्ष
फोटो उपलब्ध
--------------------------------------------------
</f>
        <v/>
      </c>
      <c r="Z32">
        <f>== Voter 26 ===
EPIC: SPJ7858869
निर्वाचक का नाम: संतेंद्र यादव
मकान संख्या: 86
उम्र: 72 वर्ष
फोटो उपलब्ध
--------------------------------------------------
</f>
        <v/>
      </c>
      <c r="AA32" t="inlineStr"/>
      <c r="AB32" t="inlineStr"/>
    </row>
    <row r="33">
      <c r="A33">
        <f>== Voter 1 ===
EPIC: MFV0027326
निर्वाचक का नाम: संजयकुमार यादव
पिता का नाम: रामेश्वर यादव पिता का ATA रामेश्वर यादव प्रति का नाम राजीव कुमार यादव
मकान संख्या: 86 फ़ोटो उपलब्ध
उम्र: 49 वर्ष
--------------------------------------------------
</f>
        <v/>
      </c>
      <c r="B33">
        <f>== Voter 2 ===
EPIC: SPJ0965250
निर्वाचक का नाम: सुधी देवी
पिता का नाम: भाइजीराय
मकान संख्या: 87
उम्र: 68 वर्ष, लिंग: महिला
फोटो उपलब्ध
--------------------------------------------------
</f>
        <v/>
      </c>
      <c r="C33">
        <f>== Voter 3 ===
EPIC: SPJ0206386
निर्वाचक का नाम: रज़िया देवी
पति का नाम: शुदीलाल
मकान संख्या: 87
उम्र: 68 वर्ष, लिंग: महिला
फोटो उपलब्ध
--------------------------------------------------
</f>
        <v/>
      </c>
      <c r="D33">
        <f>== Voter 4 ===
EPIC: MFV2562254
उम्र: 65 वर्ष
--------------------------------------------------
</f>
        <v/>
      </c>
      <c r="E33">
        <f>== Voter 5 ===
EPIC: MFV0026807
निर्वाचक का नाम: मुंशीलाल
पिता का नाम: मुंशीलाल पति का नाम कृष्णदेव पिता करा नाम मुंशीलाल
मकान संख्या: 87
उम्र: 59 वर्ष, लिंग: ; महिला
फोटो उपलब्ध
--------------------------------------------------
</f>
        <v/>
      </c>
      <c r="F33">
        <f>== Voter 6 ===
EPIC: PJ00797043
निर्वाचक का नाम: मुंशीलाल
पिता का नाम: बुदी लाल
मकान संख्या: 87
उम्र: 59 वर्ष, लिंग: पुरुष
फोटो उपलब्ध
--------------------------------------------------
</f>
        <v/>
      </c>
      <c r="G33">
        <f>== Voter 7 ===
EPIC: SPJ0797050
निर्वाचक का नाम: मुंशीलाल
पिता का नाम: मुंभशीलाल
मकान संख्या: 87
उम्र: 59 वर्ष, लिंग: पुरुष
फोटो उपलब्ध
--------------------------------------------------
</f>
        <v/>
      </c>
      <c r="H33">
        <f>== Voter 8 ===
EPIC: MFV0002747
निर्वाचक का नाम: उपेन्द्र कुमार राय
पिता का नाम: मुंशीलाल
मकान संख्या: 87
उम्र: 48 वर्ष, लिंग: पुरुष
फोटो उपलब्ध
--------------------------------------------------
</f>
        <v/>
      </c>
      <c r="I33">
        <f>== Voter 9 ===
EPIC: MFV2564235
निर्वाचक का नाम: विमला देवी
पति का नाम: राजदेव राय
मकान संख्या: 87
उम्र: 48 वर्ष, लिंग: महिला
फोटो उपलब्ध
--------------------------------------------------
</f>
        <v/>
      </c>
      <c r="J33">
        <f>== Voter 10 ===
EPIC: MFV0029397
निर्वाचक का नाम: सुनिता देवी
पिता का नाम: सुदिलाल राय
मकान संख्या: 87
उम्र: 45 वर्ष, लिंग: महिला
फोटो उपलब्ध
--------------------------------------------------
</f>
        <v/>
      </c>
      <c r="K33">
        <f>== Voter 11 ===
EPIC: SPJ0858877
निर्वाचक का नाम: इन्द्रदेव यादव
मकान संख्या: 87
उम्र: 40 वर्ष, लिंग: महिला
फोटो उपलब्ध
--------------------------------------------------
</f>
        <v/>
      </c>
      <c r="L33">
        <f>== Voter 12 ===
EPIC: PJ273083
निर्वाचक का नाम: चन्द्रिका देवी
पति का नाम: हरदेव राय॑ पिता का नाम कृष्णदेव राय पिता का नाम जगदीश यादव
उम्र: 45 वर्ष
--------------------------------------------------
</f>
        <v/>
      </c>
      <c r="M33">
        <f>== Voter 13 ===
EPIC: SPJ0235309
निर्वाचक का नाम: जीहरी यादव निर्वाचक का नाम ; बुध नारायण यादव
पिता का नाम: पौवाइदेव पिता का नाम जीहरी यादव
मकान संख्या: 87
उम्र: 40 वर्ष, लिंग: महिला
फोटो उपलब्ध
--------------------------------------------------
</f>
        <v/>
      </c>
      <c r="N33">
        <f>== Voter 14 ===
EPIC: SPJ0250687
निर्वाचक का नाम: हरदेव राय॑
मकान संख्या: 87
उम्र: 37 वर्ष
फोटो उपलब्ध
--------------------------------------------------
</f>
        <v/>
      </c>
      <c r="O33">
        <f>== Voter 15 ===
EPIC: SPJ2063824
निर्वाचक का नाम: हरदेव राय॑
मकान संख्या: 87
उम्र: 37 वर्ष
फोटो उपलब्ध
--------------------------------------------------
</f>
        <v/>
      </c>
      <c r="P33">
        <f>== Voter 16 ===
EPIC: PJ230797
निर्वाचक का नाम: हरदेव राय॑
मकान संख्या: 87
उम्र: 37 वर्ष
फोटो उपलब्ध
--------------------------------------------------
</f>
        <v/>
      </c>
      <c r="Q33">
        <f>== Voter 17 ===
EPIC: MFV2560076
निर्वाचक का नाम: हरदेव राय॑
मकान संख्या: 87
उम्र: 37 वर्ष
फोटो उपलब्ध
--------------------------------------------------
</f>
        <v/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>
        <f>== Voter 1 ===
EPIC: MFV0256269
निर्वाचक का नाम: ; tay देवी
पति का नाम: बुध नारायण पति का नाम हरिनारायण यादव पिता का नाम जौहरी यादव
मकान संख्या: 88
उम्र: 42 वर्ष
फोटो उपलब्ध
--------------------------------------------------
</f>
        <v/>
      </c>
      <c r="B34">
        <f>== Voter 2 ===
EPIC: MFV2562627
निर्वाचक का नाम: रीता देवी
पति का नाम: दयानंद यादव
मकान संख्या: 88
उम्र: 42 वर्ष
फोटो उपलब्ध
--------------------------------------------------
</f>
        <v/>
      </c>
      <c r="C34">
        <f>== Voter 3 ===
EPIC: SPJ0372652
पिता का नाम: जोहरी यादव
मकान संख्या: 88
उम्र: 42 वर्ष
फोटो उपलब्ध
--------------------------------------------------
</f>
        <v/>
      </c>
      <c r="D34">
        <f>== Voter 4 ===
EPIC: MFV2563740
निर्वाचक का नाम: बन्दना देवी
पति का नाम: ब्रहमानन्द यादव
मकान संख्या: ; 88
उम्र: 37 वर्ष, लिंग: महिला
फोटो उपलब्ध
--------------------------------------------------
</f>
        <v/>
      </c>
      <c r="E34">
        <f>== Voter 5 ===
EPIC: SPJ0590570
निर्वाचक का नाम: वदुनंदन यादव
पति का नाम: नीरज कुमार
मकान संख्या: 88
उम्र: 37 वर्ष, लिंग: पुरुष
फोटो उपलब्ध
--------------------------------------------------
</f>
        <v/>
      </c>
      <c r="F34">
        <f>== Voter 6 ===
EPIC: PJ20304350
निर्वाचक का नाम: चंद्र देवी
पति का नाम: श्यामदेव यादव
मकान संख्या: ; 89
उम्र: 37 वर्ष, लिंग: महिला
फोटो उपलब्ध
--------------------------------------------------
</f>
        <v/>
      </c>
      <c r="G34">
        <f>== Voter 7 ===
EPIC: SPJ7858885
निर्वाचक का नाम: विभा देवी
पिता का नाम: शिवनंदन यादव
मकान संख्या: ; 89
उम्र: 37 वर्ष, लिंग: पुरुष
फोटो उपलब्ध
--------------------------------------------------
</f>
        <v/>
      </c>
      <c r="H34">
        <f>== Voter 8 ===
EPIC: MFV0026274
निर्वाचक का नाम: रुपेश कुमार यादव
पिता का नाम: जदुनन्दन यादव
उम्र: 54 वर्ष, लिंग: पुरुष
--------------------------------------------------
</f>
        <v/>
      </c>
      <c r="I34">
        <f>== Voter 9 ===
EPIC: MFV0026229
निर्वाचक का नाम: ; रत्तीलाल यादव
पिता का नाम: ! देवनाथ यादव
मकान संख्या: 89 फ़ोटो उपलब्ध
उम्र: 54 वर्ष, लिंग: पुरुष
--------------------------------------------------
</f>
        <v/>
      </c>
      <c r="J34">
        <f>== Voter 10 ===
EPIC: SPJ7080577
निर्वाचक का नाम: ; सोंतीलाल यादव
पिता का नाम: देव नारायण
मकान संख्या: 89
उम्र: 50 वर्ष, लिंग: महिला
फोटो उपलब्ध
--------------------------------------------------
</f>
        <v/>
      </c>
      <c r="K34">
        <f>== Voter 11 ===
EPIC: MFV2564334
निर्वाचक का नाम: तिलिया देवी
पति का नाम: सोतीलाल यादव
मकान संख्या: 89
उम्र: 50 वर्ष, लिंग: महिला
फोटो उपलब्ध
--------------------------------------------------
</f>
        <v/>
      </c>
      <c r="L34">
        <f>== Voter 12 ===
EPIC: MFV0256447
निर्वाचक का नाम: सुभिया देवी
पति का नाम: डम्बर यादव
मकान संख्या: 89
उम्र: 45 वर्ष, लिंग: महिला
फोटो उपलब्ध
--------------------------------------------------
</f>
        <v/>
      </c>
      <c r="M34">
        <f>== Voter 13 ===
EPIC: SPJ0590588
निर्वाचक का नाम: ; आशा देवी
पति का नाम: रघु नंदन
मकान संख्या: 89
उम्र: 46 वर्ष, लिंग: ; महिला
फोटो उपलब्ध
--------------------------------------------------
</f>
        <v/>
      </c>
      <c r="N34">
        <f>== Voter 14 ===
EPIC: SPJ0590596
निर्वाचक का नाम: उर्मिला देवी निर्वाचक का नाम ; प्रदीप यादव
पति का नाम: शानी यादव पिता का नाम रघुनंदन यादव
मकान संख्या: 89
उम्र: 36 वर्ष
फोटो उपलब्ध
--------------------------------------------------
</f>
        <v/>
      </c>
      <c r="O34">
        <f>== Voter 15 ===
EPIC: PJ20063832
पिता का नाम: देवनाथ यादव
मकान संख्या: 90
उम्र: 77 वर्ष
फोटो उपलब्ध
--------------------------------------------------
</f>
        <v/>
      </c>
      <c r="P34">
        <f>== Voter 16 ===
EPIC: PJ00875720
मकान संख्या: 90
उम्र: 36 वर्ष
फोटो उपलब्ध
--------------------------------------------------
</f>
        <v/>
      </c>
      <c r="Q34">
        <f>== Voter 17 ===
EPIC: MFV2564664
मकान संख्या: 90
उम्र: 42 वर्ष
फोटो उपलब्ध
--------------------------------------------------
</f>
        <v/>
      </c>
      <c r="R34">
        <f>== Voter 18 ===
EPIC: SPJ7965268
मकान संख्या: 90
उम्र: 44 वर्ष
फोटो उपलब्ध
--------------------------------------------------
</f>
        <v/>
      </c>
      <c r="S34">
        <f>== Voter 19 ===
EPIC: SPJ7637036
मकान संख्या: 90
उम्र: 50 वर्ष
फोटो उपलब्ध
--------------------------------------------------
</f>
        <v/>
      </c>
      <c r="T34">
        <f>== Voter 20 ===
EPIC: SPJ0797076
मकान संख्या: 90
उम्र: 50 वर्ष
फोटो उपलब्ध
--------------------------------------------------
</f>
        <v/>
      </c>
      <c r="U34">
        <f>== Voter 21 ===
EPIC: MFV0735209
पति का नाम: बिजली यादव
मकान संख्या: 97
फोटो उपलब्ध
--------------------------------------------------
</f>
        <v/>
      </c>
      <c r="V34">
        <f>== Voter 22 ===
EPIC: MFV0002736
पति का नाम: बिजली यादव
मकान संख्या: 97
फोटो उपलब्ध
--------------------------------------------------
</f>
        <v/>
      </c>
      <c r="W34">
        <f>== Voter 23 ===
EPIC: MFV0029765
पति का नाम: बिजली यादव
मकान संख्या: 97
फोटो उपलब्ध
--------------------------------------------------
</f>
        <v/>
      </c>
      <c r="X34">
        <f>== Voter 24 ===
EPIC: SPJ0032587
निर्वाचक का नाम: शानी यादव
मकान संख्या: ; 94
उम्र: 42 वर्ष
फोटो उपलब्ध
--------------------------------------------------
</f>
        <v/>
      </c>
      <c r="Y34" t="inlineStr"/>
      <c r="Z34" t="inlineStr"/>
      <c r="AA34" t="inlineStr"/>
      <c r="AB34" t="inlineStr"/>
    </row>
    <row r="35">
      <c r="A35">
        <f>== Voter 1 ===
EPIC: PJ70527046
निर्वाचक का नाम: ; ललन कुमार यादव
पिता का नाम: विजली यादव पिता का ar सोहन यादव
मकान संख्या: 94
उम्र: 44 वर्ष
फोटो उपलब्ध
--------------------------------------------------
</f>
        <v/>
      </c>
      <c r="B35">
        <f>== Voter 2 ===
EPIC: SPJ0590604
मकान संख्या: 94
उम्र: 44 वर्ष
फोटो उपलब्ध
--------------------------------------------------
</f>
        <v/>
      </c>
      <c r="C35">
        <f>== Voter 3 ===
EPIC: SPJ2063840
निर्वाचक का नाम: दीपेन यादव
पिता का नाम: सोहन यादव
मकान संख्या: ; 94
उम्र: 44 वर्ष, लिंग: पुरुष
फोटो उपलब्ध
--------------------------------------------------
</f>
        <v/>
      </c>
      <c r="D35">
        <f>== Voter 4 ===
EPIC: SPJ2063865
पति का नाम: लालन कुमार यादव
मकान संख्या: ; 94
उम्र: 37 वर्ष, लिंग: महिला
फोटो उपलब्ध
--------------------------------------------------
</f>
        <v/>
      </c>
      <c r="E35">
        <f>== Voter 5 ===
EPIC: SPJ2063873
निर्वाचक का नाम: ममता देवी
पति का नाम: ; दीपक कुमार यादव
मकान संख्या: 9
उम्र: 39 वर्ष, लिंग: ; महिला
फोटो उपलब्ध
--------------------------------------------------
</f>
        <v/>
      </c>
      <c r="F35">
        <f>== Voter 6 ===
EPIC: MFV0027474
निर्वाचक का नाम: बेचनी देवी
पिता का नाम: अशर्फ़ी यादव
मकान संख्या: 92 फ़ोटो उपलब्ध
उम्र: 36 वर्ष, लिंग: ; महिला
--------------------------------------------------
</f>
        <v/>
      </c>
      <c r="G35">
        <f>== Voter 7 ===
EPIC: MFV2560027
निर्वाचक का नाम: ; सकल a यादव
पिता का नाम: डोमी यादव
उम्र: 74 वर्ष, लिंग: पुरुष
--------------------------------------------------
</f>
        <v/>
      </c>
      <c r="H35">
        <f>== Voter 8 ===
EPIC: MFV0007592
निर्वाचक का नाम: योगेंद्र यादव
पिता का नाम: डोमी यादव
मकान संख्या: 92
उम्र: 52 वर्ष, लिंग: पुरुष
फोटो उपलब्ध
--------------------------------------------------
</f>
        <v/>
      </c>
      <c r="I35">
        <f>== Voter 9 ===
EPIC: MFV0002087
निर्वाचक का नाम: सरीता देवी
पिता का नाम: डोमी यादव
मकान संख्या: 92
उम्र: 50 वर्ष, लिंग: महिला
फोटो उपलब्ध
--------------------------------------------------
</f>
        <v/>
      </c>
      <c r="J35">
        <f>== Voter 10 ===
EPIC: SPJ0032637
निर्वाचक का नाम: ; गौरी देवी
पिता का नाम: डोमी यादव
मकान संख्या: 92
उम्र: 50 वर्ष, लिंग: महिला
फोटो उपलब्ध
--------------------------------------------------
</f>
        <v/>
      </c>
      <c r="K35">
        <f>== Voter 11 ===
EPIC: MFV2562452
निर्वाचक का नाम: पूनम देवी
पति का नाम: राजेन्द्र यादव
मकान संख्या: 92
उम्र: 48 वर्ष, लिंग: महिला
फोटो उपलब्ध
--------------------------------------------------
</f>
        <v/>
      </c>
      <c r="L35">
        <f>== Voter 12 ===
EPIC: PJ00372603
निर्वाचक का नाम: अनील कुमार यादव
पिता का नाम: हलेश्वर यादव
मकान संख्या: ; 92
उम्र: 45 वर्ष, लिंग: पुरुष
फोटो उपलब्ध
--------------------------------------------------
</f>
        <v/>
      </c>
      <c r="M35">
        <f>== Voter 13 ===
EPIC: SPJ0372595
निर्वाचक का नाम: मूनेश्री देवी निर्वाचक का नाम ; रेनू देवी निर्वाचक का नाम उर्मिला देवी
पति का नाम: योगेन्द्र यादव
मकान संख्या: ; 92
उम्र: 45 वर्ष
फोटो उपलब्ध
--------------------------------------------------
</f>
        <v/>
      </c>
      <c r="N35">
        <f>== Voter 14 ===
EPIC: MFV2562296
निर्वाचक का नाम: कुशेश्वर यादव
पिता का नाम: केशीलाल यादव
मकान संख्या: 92
उम्र: 43 वर्ष, लिंग: पुरुष
फोटो उपलब्ध
--------------------------------------------------
</f>
        <v/>
      </c>
      <c r="O35">
        <f>== Voter 15 ===
EPIC: SPJ0590638
निर्वाचक का नाम: प्रमिला कुमारी निर्वाचक का नाम; शिव नारायण यादव
पति का नाम: राम विलास पिता का नाम गुंजन यादव
मकान संख्या: 92
उम्र: 44 वर्ष
फोटो उपलब्ध
--------------------------------------------------
</f>
        <v/>
      </c>
      <c r="P35">
        <f>== Voter 16 ===
EPIC: SPJ2735382
निर्वाचक का नाम: ; मुकतीलाल यादव
मकान संख्या: 92
उम्र: 37 वर्ष, लिंग: ; पुरुष
फोटो उपलब्ध
--------------------------------------------------
</f>
        <v/>
      </c>
      <c r="Q35">
        <f>== Voter 17 ===
EPIC: SPJ0590653
उम्र: 54 वर्ष
फोटो उपलब्ध
--------------------------------------------------
</f>
        <v/>
      </c>
      <c r="R35">
        <f>== Voter 18 ===
EPIC: SPJ7858907
पति का नाम: कुशेश्वर यादव
उम्र: 54 वर्ष
फोटो उपलब्ध
--------------------------------------------------
</f>
        <v/>
      </c>
      <c r="S35">
        <f>== Voter 19 ===
EPIC: SPJ0249607
निर्वाचक का नाम: राम विलास
मकान संख्या: 93
उम्र: 26 वर्ष
फोटो उपलब्ध
--------------------------------------------------
</f>
        <v/>
      </c>
      <c r="T35">
        <f>== Voter 20 ===
EPIC: MFV0256728
निर्वाचक का नाम: राम विलास
मकान संख्या: 93
उम्र: 26 वर्ष
फोटो उपलब्ध
--------------------------------------------------
</f>
        <v/>
      </c>
      <c r="U35">
        <f>== Voter 21 ===
EPIC: MFV0009656
निर्वाचक का नाम: राम विलास
मकान संख्या: 94
उम्र: 57 वर्ष
फोटो उपलब्ध
--------------------------------------------------
</f>
        <v/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>
        <f>== Voter 1 ===
EPIC: MFV0026500
निर्वाचक का नाम: मंजू देवी
पति का नाम: मुक्ति लाल पति का नाम शिव नारायण पिता का नाम मुक्तिलाल यादव
मकान संख्या: 94
उम्र: 53 वर्ष
फोटो उपलब्ध
--------------------------------------------------
</f>
        <v/>
      </c>
      <c r="B36">
        <f>== Voter 2 ===
EPIC: MFV2560225
निर्वाचक का नाम: उमेश ठाकुर
पिता का नाम: मिश्री लाल ठाकुर
मकान संख्या: 94
उम्र: 53 वर्ष, लिंग: ; पुरुष
फोटो उपलब्ध
--------------------------------------------------
</f>
        <v/>
      </c>
      <c r="C36">
        <f>== Voter 3 ===
EPIC: PJ20063887
निर्वाचक का नाम: सुमित कुमार शर्मा
पति का नाम: रामानंद यादव
मकान संख्या: 94
उम्र: 53 वर्ष, लिंग: पुरुष
फोटो उपलब्ध
--------------------------------------------------
</f>
        <v/>
      </c>
      <c r="D36">
        <f>== Voter 4 ===
EPIC: SP42063899
निर्वाचक का नाम: सुनीता देवी
पिता का नाम: उमेश शर्मा
मकान संख्या: ; 96
उम्र: 53 वर्ष, लिंग: महिला
फोटो उपलब्ध
--------------------------------------------------
</f>
        <v/>
      </c>
      <c r="E36">
        <f>== Voter 5 ===
EPIC: SPJ0292779
निर्वाचक का नाम: ललित ठाकुर
पिता का नाम: सीताराम ठाकुर
उम्र: 54 वर्ष, लिंग: पुरुष
--------------------------------------------------
</f>
        <v/>
      </c>
      <c r="F36">
        <f>== Voter 6 ===
EPIC: MFV2560324
निर्वाचक का नाम: सरस्वती देवी
पिता का नाम: रामचरित्र
मकान संख्या: ; 97 फ़ोटो उपलब्ध
उम्र: 22 वर्ष, लिंग: महिला
--------------------------------------------------
</f>
        <v/>
      </c>
      <c r="G36">
        <f>== Voter 7 ===
EPIC: SPJ2063907
निर्वाचक का नाम: नितेश कुमार शर्मा
पिता का नाम: ललित ठाकुर
मकान संख्या: 96 फ़ोटो उपलब्ध
उम्र: 22 वर्ष, लिंग: पुरुष
--------------------------------------------------
</f>
        <v/>
      </c>
      <c r="H36">
        <f>== Voter 8 ===
EPIC: MFV0097865
निर्वाचक का नाम: यमुना देवी
पति का नाम: HEAT ठाकुर
मकान संख्या: 97 फ़ोटो उपलब्ध
उम्र: 50 वर्ष
--------------------------------------------------
</f>
        <v/>
      </c>
      <c r="I36">
        <f>== Voter 9 ===
EPIC: MFV0023093
निर्वाचक का नाम: ; कल्पना देवी
पिता का नाम: रामप्रसाद यादव
मकान संख्या: 97
उम्र: 50 वर्ष, लिंग: महिला
फोटो उपलब्ध
--------------------------------------------------
</f>
        <v/>
      </c>
      <c r="J36">
        <f>== Voter 10 ===
EPIC: MFV2563096
निर्वाचक का नाम: गणपति यादव
पिता का नाम: महादेव यादव
मकान संख्या: 97
उम्र: 74 वर्ष, लिंग: पुरुष
फोटो उपलब्ध
--------------------------------------------------
</f>
        <v/>
      </c>
      <c r="K36">
        <f>== Voter 11 ===
EPIC: SPJ0590687
निर्वाचक का नाम: रविया देवी
पिता का नाम: रामचरित्र
मकान संख्या: 97
उम्र: 74 वर्ष, लिंग: महिला
फोटो उपलब्ध
--------------------------------------------------
</f>
        <v/>
      </c>
      <c r="L36">
        <f>== Voter 12 ===
EPIC: PJ00442889
निर्वाचक का नाम: रंजित यादव
पिता का नाम: विजय शर्मा
मकान संख्या: 97
उम्र: 48 वर्ष, लिंग: पुरुष
फोटो उपलब्ध
--------------------------------------------------
</f>
        <v/>
      </c>
      <c r="M36">
        <f>== Voter 13 ===
EPIC: PJ275353
निर्वाचक का नाम: ; भरतलाल यादव
पिता का नाम: रवि यादव
उम्र: 44 वर्ष
--------------------------------------------------
</f>
        <v/>
      </c>
      <c r="N36">
        <f>== Voter 14 ===
EPIC: SPJ2785079
निर्वाचक का नाम: कवीता देवी निर्वाचक का नाम ; बिंदा देवी
मकान संख्या: 97
उम्र: 44 वर्ष, लिंग: ; पुरुष
फोटो उपलब्ध
--------------------------------------------------
</f>
        <v/>
      </c>
      <c r="O36">
        <f>== Voter 15 ===
EPIC: SPJ0590679
मकान संख्या: 97
उम्र: 22 वर्ष
फोटो उपलब्ध
--------------------------------------------------
</f>
        <v/>
      </c>
      <c r="P36">
        <f>== Voter 16 ===
EPIC: SPJ0590703
मकान संख्या: 98
उम्र: 57 वर्ष
फोटो उपलब्ध
--------------------------------------------------
</f>
        <v/>
      </c>
      <c r="Q36">
        <f>== Voter 17 ===
EPIC: SP40590695
मकान संख्या: 98
उम्र: 57 वर्ष
फोटो उपलब्ध
--------------------------------------------------
</f>
        <v/>
      </c>
      <c r="R36">
        <f>== Voter 18 ===
EPIC: MFV0038406
निर्वाचक का नाम: गण
मकान संख्या: 98
फोटो उपलब्ध
--------------------------------------------------
</f>
        <v/>
      </c>
      <c r="S36">
        <f>== Voter 19 ===
EPIC: MFV0026955
मकान संख्या: 98
उम्र: 57 वर्ष
फोटो उपलब्ध
--------------------------------------------------
</f>
        <v/>
      </c>
      <c r="T36">
        <f>== Voter 20 ===
EPIC: MFV2563260
मकान संख्या: 98
उम्र: 57 वर्ष
फोटो उपलब्ध
--------------------------------------------------
</f>
        <v/>
      </c>
      <c r="U36">
        <f>== Voter 21 ===
EPIC: MFV2564268
निर्वाचक का नाम: गण
मकान संख्या: 98
उम्र: 57 वर्ष
फोटो उपलब्ध
--------------------------------------------------
</f>
        <v/>
      </c>
      <c r="V36">
        <f>== Voter 22 ===
EPIC: SPJ2335390
उम्र: 48 वर्ष
--------------------------------------------------
</f>
        <v/>
      </c>
      <c r="W36">
        <f>== Voter 23 ===
EPIC: SPJ7858979
मकान संख्या: 99
उम्र: 48 वर्ष
फोटो उपलब्ध
--------------------------------------------------
</f>
        <v/>
      </c>
      <c r="X36">
        <f>== Voter 24 ===
EPIC: SPJ0590737
मकान संख्या: 98
उम्र: 43 वर्ष
फोटो उपलब्ध
--------------------------------------------------
</f>
        <v/>
      </c>
      <c r="Y36">
        <f>== Voter 25 ===
EPIC: PJ752038
--------------------------------------------------
</f>
        <v/>
      </c>
      <c r="Z36">
        <f>== Voter 26 ===
EPIC: MFV0023820
मकान संख्या: 00
उम्र: 54 वर्ष
फोटो उपलब्ध
--------------------------------------------------
</f>
        <v/>
      </c>
      <c r="AA36" t="inlineStr"/>
      <c r="AB36" t="inlineStr"/>
    </row>
    <row r="37">
      <c r="A37">
        <f>== Voter 1 ===
EPIC: SPJ0590745
निर्वाचक का नाम: ; फुलिया देवी निर्वाचक का are मनोज कुमार यादव निर्वाचक का नाम चंदा देवी
पति का नाम: भरतलाल यादव पिता का नाम विशेश्वर प्रति का नाम मनोज यादव
मकान संख्या: 00
उम्र: 52 वर्ष
फोटो उपलब्ध
--------------------------------------------------
</f>
        <v/>
      </c>
      <c r="B37">
        <f>== Voter 2 ===
EPIC: PJ059077
मकान संख्या: 00
उम्र: 52 वर्ष
फोटो उपलब्ध
--------------------------------------------------
</f>
        <v/>
      </c>
      <c r="C37">
        <f>== Voter 3 ===
EPIC: PJ70637040
निर्वाचक का नाम: प्रमोद कुमार यादव
पिता का नाम: विशेशर पसाद
मकान संख्या: 00
उम्र: 52 वर्ष, लिंग: पुरुष
फोटो उपलब्ध
--------------------------------------------------
</f>
        <v/>
      </c>
      <c r="D37">
        <f>== Voter 4 ===
EPIC: SPJ0590729
निर्वाचक का नाम: खुशब्ु कुमारी
उम्र: 52 वर्ष
--------------------------------------------------
</f>
        <v/>
      </c>
      <c r="E37">
        <f>== Voter 5 ===
EPIC: PJ00373247
उम्र: 52 वर्ष
--------------------------------------------------
</f>
        <v/>
      </c>
      <c r="F37">
        <f>== Voter 6 ===
EPIC: PJ032884
निर्वाचक का नाम: ; कबिता देवी
पिता का नाम: बलदेव राय
मकान संख्या: ; 00
उम्र: 39 वर्ष, लिंग: महिला
फोटो उपलब्ध
--------------------------------------------------
</f>
        <v/>
      </c>
      <c r="G37">
        <f>== Voter 7 ===
EPIC: SPJ2735408
निर्वाचक का नाम: देवु यादव
पिता का नाम: चनीलाल
मकान संख्या: 00
उम्र: 43 वर्ष, लिंग: पुरुष
फोटो उपलब्ध
--------------------------------------------------
</f>
        <v/>
      </c>
      <c r="H37">
        <f>== Voter 8 ===
EPIC: MFV2567879
मकान संख्या: ; 702
फोटो उपलब्ध
--------------------------------------------------
</f>
        <v/>
      </c>
      <c r="I37">
        <f>== Voter 9 ===
EPIC: SPJ2877264
मकान संख्या: 702
उम्र: 42 वर्ष, लिंग: पुरुष
फोटो उपलब्ध
--------------------------------------------------
</f>
        <v/>
      </c>
      <c r="J37">
        <f>== Voter 10 ===
EPIC: MFV0256294
मकान संख्या: वार्ड नं 7 बेला
उम्र: 35 वर्ष
फोटो उपलब्ध
--------------------------------------------------
</f>
        <v/>
      </c>
      <c r="K37">
        <f>== Voter 11 ===
EPIC: MFV0099275
मकान संख्या: वार्ड नं 7,बेला
उम्र: 50 वर्ष
फोटो उपलब्ध
--------------------------------------------------
</f>
        <v/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>
        <f>== Voter 1 ===
EPIC: SPJ2374045
मकान संख्या: 0
उम्र: 38 वर्ष
फोटो उपलब्ध
--------------------------------------------------
</f>
        <v/>
      </c>
      <c r="B38">
        <f>== Voter 2 ===
EPIC: SPJ2377956
मकान संख्या: 0
उम्र: 38 वर्ष
फोटो उपलब्ध
--------------------------------------------------
</f>
        <v/>
      </c>
      <c r="C38">
        <f>== Voter 3 ===
EPIC: PJ237796
मकान संख्या: 0
उम्र: 38 वर्ष
फोटो उपलब्ध
--------------------------------------------------
</f>
        <v/>
      </c>
      <c r="D38">
        <f>== Voter 4 ===
EPIC: SPJ0235786
मकान संख्या: 0
उम्र: 38 वर्ष
फोटो उपलब्ध
--------------------------------------------------
</f>
        <v/>
      </c>
      <c r="E38">
        <f>== Voter 5 ===
EPIC: MFV2562288
मकान संख्या: 0
उम्र: 38 वर्ष
फोटो उपलब्ध
--------------------------------------------------
</f>
        <v/>
      </c>
      <c r="F38">
        <f>== Voter 6 ===
EPIC: MFV2564227
मकान संख्या: 0
उम्र: 53 वर्ष
फोटो उपलब्ध
--------------------------------------------------
</f>
        <v/>
      </c>
      <c r="G38">
        <f>== Voter 7 ===
EPIC: MFV0096982
मकान संख्या: ; 7
उम्र: 53 वर्ष
फोटो उपलब्ध
--------------------------------------------------
</f>
        <v/>
      </c>
      <c r="H38">
        <f>== Voter 8 ===
EPIC: MFV0099630
मकान संख्या: ; 7
उम्र: 57 वर्ष
फोटो उपलब्ध
--------------------------------------------------
</f>
        <v/>
      </c>
      <c r="I38">
        <f>== Voter 9 ===
EPIC: MFV0027748
मकान संख्या: संख्या:
उम्र: 48 वर्ष
फोटो उपलब्ध
--------------------------------------------------
</f>
        <v/>
      </c>
      <c r="J38">
        <f>== Voter 10 ===
EPIC: SPJ0752079
मकान संख्या: ; 7
उम्र: 48 वर्ष
फोटो उपलब्ध
--------------------------------------------------
</f>
        <v/>
      </c>
      <c r="K38">
        <f>== Voter 11 ===
EPIC: SPJI527978
मकान संख्या: ; 7
उम्र: 48 वर्ष
फोटो उपलब्ध
--------------------------------------------------
</f>
        <v/>
      </c>
      <c r="L38">
        <f>== Voter 12 ===
EPIC: PJ752093
मकान संख्या: 7
उम्र: 42 वर्ष
फोटो उपलब्ध
--------------------------------------------------
</f>
        <v/>
      </c>
      <c r="M38">
        <f>== Voter 13 ===
EPIC: PU752095
मकान संख्या: 7
फोटो उपलब्ध
--------------------------------------------------
</f>
        <v/>
      </c>
      <c r="N38">
        <f>== Voter 14 ===
EPIC: SPJ2735580
मकान संख्या: I
उम्र: 40 वर्ष
फोटो उपलब्ध
--------------------------------------------------
</f>
        <v/>
      </c>
      <c r="O38">
        <f>== Voter 15 ===
EPIC: SPJ2279727
मकान संख्या: 7
उम्र: 33 वर्ष
फोटो उपलब्ध
--------------------------------------------------
</f>
        <v/>
      </c>
      <c r="P38">
        <f>== Voter 16 ===
EPIC: SPJ0527020
मकान संख्या: 7
उम्र: 36 वर्ष
फोटो उपलब्ध
--------------------------------------------------
</f>
        <v/>
      </c>
      <c r="Q38">
        <f>== Voter 17 ===
EPIC: SPJ2884435
मकान संख्या: I
उम्र: 38 वर्ष
फोटो उपलब्ध
--------------------------------------------------
</f>
        <v/>
      </c>
      <c r="R38">
        <f>== Voter 18 ===
EPIC: MFV0024653
मकान संख्या: I
उम्र: 38 वर्ष
फोटो उपलब्ध
--------------------------------------------------
</f>
        <v/>
      </c>
      <c r="S38">
        <f>== Voter 19 ===
EPIC: SPJ2477939
मकान संख्या: I
उम्र: 64 वर्ष, लिंग: महिला
फोटो उपलब्ध
--------------------------------------------------
</f>
        <v/>
      </c>
      <c r="T38">
        <f>== Voter 20 ===
EPIC: MFV0027045
मकान संख्या: 3
उम्र: 59 वर्ष
फोटो उपलब्ध
--------------------------------------------------
</f>
        <v/>
      </c>
      <c r="U38">
        <f>== Voter 21 ===
EPIC: SPUI527240
मकान संख्या: 2
उम्र: 67 वर्ष
फोटो उपलब्ध
--------------------------------------------------
</f>
        <v/>
      </c>
      <c r="V38">
        <f>== Voter 22 ===
EPIC: SPJ0590778
मकान संख्या: 2
फोटो उपलब्ध
--------------------------------------------------
</f>
        <v/>
      </c>
      <c r="W38">
        <f>== Voter 23 ===
EPIC: MFV2564367
मकान संख्या: 3
उम्र: 40 वर्ष
फोटो उपलब्ध
--------------------------------------------------
</f>
        <v/>
      </c>
      <c r="X38" t="inlineStr"/>
      <c r="Y38" t="inlineStr"/>
      <c r="Z38" t="inlineStr"/>
      <c r="AA38" t="inlineStr"/>
      <c r="AB38" t="inlineStr"/>
    </row>
    <row r="39">
      <c r="A39">
        <f>== Voter 1 ===
EPIC: SPJ2972958
निर्वाचक का नाम: ; सुनिता देवी निर्वाचक का नाम देव कुमार निर्वाचक का नाम रामकिसुन aad
पति का नाम: Gs Gas पिता का ana Sts खातवे पिता का नाम नंदी खतवे
मकान संख्या: 3
उम्र: 39 वर्ष
फोटो उपलब्ध
--------------------------------------------------
</f>
        <v/>
      </c>
      <c r="B39">
        <f>== Voter 2 ===
EPIC: MFV0097980
मकान संख्या: 3
उम्र: 39 वर्ष
फोटो उपलब्ध
--------------------------------------------------
</f>
        <v/>
      </c>
      <c r="C39">
        <f>== Voter 3 ===
EPIC: SPJ0373994
निर्वाचक का नाम: बालकिसुन खतवे
पिता का नाम: न॑दी
मकान संख्या: ; 4 = उपलब्ध
उम्र: 39 वर्ष, लिंग: पुरुष
--------------------------------------------------
</f>
        <v/>
      </c>
      <c r="D39">
        <f>== Voter 4 ===
EPIC: MFV0025502
पिता का नाम: न॑दी
उम्र: 39 वर्ष
--------------------------------------------------
</f>
        <v/>
      </c>
      <c r="E39">
        <f>== Voter 5 ===
EPIC: MFV0026583
निर्वाचक का नाम: सुबोध कुमार
पिता का नाम: रामकिसुन ख़तवे
मकान संख्या: 4
उम्र: 48 वर्ष, लिंग: पुरुष
फोटो उपलब्ध
--------------------------------------------------
</f>
        <v/>
      </c>
      <c r="F39">
        <f>== Voter 6 ===
EPIC: SPJ7789299
निर्वाचक का नाम: सोनू कुमार दास
मकान संख्या: 4
उम्र: 29 वर्ष, लिंग: पुरुष
फोटो उपलब्ध
--------------------------------------------------
</f>
        <v/>
      </c>
      <c r="G39">
        <f>== Voter 7 ===
EPIC: SPJ0273546
निर्वाचक का नाम: ललन कुमार चौपाल
पिता का नाम: बलकिसुन चौपाल
मकान संख्या: 4
उम्र: 30 वर्ष, लिंग: पुरुष
फोटो उपलब्ध
--------------------------------------------------
</f>
        <v/>
      </c>
      <c r="H39">
        <f>== Voter 8 ===
EPIC: PJ20850337
मकान संख्या: 4
उम्र: 29 वर्ष
फोटो उपलब्ध
--------------------------------------------------
</f>
        <v/>
      </c>
      <c r="I39">
        <f>== Voter 9 ===
EPIC: SPJ0235432
निर्वाचक का नाम: shit खतवे
पिता का नाम: कमल
मकान संख्या: 4
उम्र: 57 वर्ष, लिंग: पुरुष
फोटो उपलब्ध
--------------------------------------------------
</f>
        <v/>
      </c>
      <c r="J39">
        <f>== Voter 10 ===
EPIC: SPJ2735465
निर्वाचक का नाम: ; रंजीत कुमार चौपाल
पिता का नाम: डोमी ख़तवे
मकान संख्या: 4
उम्र: 29 वर्ष, लिंग: पुरुष
फोटो उपलब्ध
--------------------------------------------------
</f>
        <v/>
      </c>
      <c r="K39">
        <f>== Voter 11 ===
EPIC: MFV0099929
निर्वाचक का नाम: संजू देवी
पति का नाम: बोला खतवे
उम्र: 29 वर्ष, लिंग: महिला
--------------------------------------------------
</f>
        <v/>
      </c>
      <c r="L39">
        <f>== Voter 12 ===
EPIC: SPJ0965284
निर्वाचक का नाम: बौला खतवे
पिता का नाम: नेगडु wad
मकान संख्या: 5
उम्र: 57 वर्ष, लिंग: पुरुष
फोटो उपलब्ध
--------------------------------------------------
</f>
        <v/>
      </c>
      <c r="M39">
        <f>== Voter 13 ===
EPIC: SPJ0590786
निर्वाचक का नाम: ; महावती देवी
मकान संख्या: 5
उम्र: 57 वर्ष, लिंग: महिला
फोटो उपलब्ध
--------------------------------------------------
</f>
        <v/>
      </c>
      <c r="N39">
        <f>== Voter 14 ===
EPIC: SPJ7753607
निर्वाचक का नाम: ; जनक खतवे
पिता का नाम: बिधु खतवे
मकान संख्या: 5
उम्र: 38 वर्ष, लिंग: महिला
फोटो उपलब्ध
--------------------------------------------------
</f>
        <v/>
      </c>
      <c r="O39">
        <f>== Voter 15 ===
EPIC: PJ00590794
निर्वाचक का नाम: ललिता देवी
पति का नाम: विलेक्षण ered
मकान संख्या: 5
उम्र: 35 वर्ष
फोटो उपलब्ध
--------------------------------------------------
</f>
        <v/>
      </c>
      <c r="P39">
        <f>== Voter 16 ===
EPIC: MFV0038968
निर्वाचक का नाम: दुखनी देवी
मकान संख्या: 6
उम्र: 56 वर्ष
फोटो उपलब्ध
--------------------------------------------------
</f>
        <v/>
      </c>
      <c r="Q39">
        <f>== Voter 17 ===
EPIC: MFV0026922
निर्वाचक का नाम: ; इँद्रावती देवी
मकान संख्या: 6
उम्र: 57 वर्ष, लिंग: ; महिला
फोटो उपलब्ध
--------------------------------------------------
</f>
        <v/>
      </c>
      <c r="R39">
        <f>== Voter 18 ===
EPIC: MFV2563955
निर्वाचक का नाम: ; योगेंद्र खतवे
मकान संख्या: 6
उम्र: 52 वर्ष, लिंग: पुरुष
फोटो उपलब्ध
--------------------------------------------------
</f>
        <v/>
      </c>
      <c r="S39">
        <f>== Voter 19 ===
EPIC: MFV2562874
मकान संख्या: 6
उम्र: 52 वर्ष
फोटो उपलब्ध
--------------------------------------------------
</f>
        <v/>
      </c>
      <c r="T39">
        <f>== Voter 20 ===
EPIC: SPJ0059080
पिता का नाम: का असर्फी खतवे
मकान संख्या: 6
उम्र: 52 वर्ष
फोटो उपलब्ध
--------------------------------------------------
</f>
        <v/>
      </c>
      <c r="U39">
        <f>== Voter 21 ===
EPIC: SPJ0527285
मकान संख्या: 8
उम्र: 77 वर्ष
फोटो उपलब्ध
--------------------------------------------------
</f>
        <v/>
      </c>
      <c r="V39">
        <f>== Voter 22 ===
EPIC: MFV0023750
मकान संख्या: 7
फोटो उपलब्ध
--------------------------------------------------
</f>
        <v/>
      </c>
      <c r="W39">
        <f>== Voter 23 ===
EPIC: MFV0027359
मकान संख्या: 8
उम्र: 52 वर्ष
फोटो उपलब्ध
--------------------------------------------------
</f>
        <v/>
      </c>
      <c r="X39">
        <f>== Voter 24 ===
EPIC: MFV0098582
मकान संख्या: 8
उम्र: 52 वर्ष
फोटो उपलब्ध
--------------------------------------------------
</f>
        <v/>
      </c>
      <c r="Y39" t="inlineStr"/>
      <c r="Z39" t="inlineStr"/>
      <c r="AA39" t="inlineStr"/>
      <c r="AB39" t="inlineStr"/>
    </row>
    <row r="40">
      <c r="A40">
        <f>== Voter 1 ===
EPIC: MFV0027698
निर्वाचक का नाम: ; गोवर्धन खतवे निर्वाचक का नाम ; फुल अरीया देवी निर्वाचक का नाम शंकर शर्मा
पति का नाम: गोवर्थन पिता का नाम योगेन्द्र ख़तवे
मकान संख्या: 8
उम्र: 48 वर्ष
फोटो उपलब्ध
--------------------------------------------------
</f>
        <v/>
      </c>
      <c r="B40">
        <f>== Voter 2 ===
EPIC: PJ20735499
मकान संख्या: 8
उम्र: 48 वर्ष
फोटो उपलब्ध
--------------------------------------------------
</f>
        <v/>
      </c>
      <c r="C40">
        <f>== Voter 3 ===
EPIC: MFV0023606
निर्वाचक का नाम: लिखन खतवे
पिता का नाम: बुंधन wad
मकान संख्या: 9
उम्र: 48 वर्ष, लिंग: ; पुरुष
फोटो उपलब्ध
--------------------------------------------------
</f>
        <v/>
      </c>
      <c r="D40">
        <f>== Voter 4 ===
EPIC: PJ20730870
निर्वाचक का नाम: राधेश्याम खतवे
पिता का नाम: लिखन खतवे
मकान संख्या: 9
उम्र: 62 वर्ष, लिंग: ; पुरुष
फोटो उपलब्ध
--------------------------------------------------
</f>
        <v/>
      </c>
      <c r="E40">
        <f>== Voter 5 ===
EPIC: MFV0098699
निर्वाचक का नाम: कृपाराम waa
मकान संख्या: 9
उम्र: 62 वर्ष, लिंग: पुरुष
फोटो उपलब्ध
--------------------------------------------------
</f>
        <v/>
      </c>
      <c r="F40">
        <f>== Voter 6 ===
EPIC: PJ20432557
निर्वाचक का नाम: ; सुरेश प्रसाद मण्डल
पिता का नाम: हृदय मण्डल
मकान संख्या: 9
उम्र: 57 वर्ष, लिंग: पुरुष
फोटो उपलब्ध
--------------------------------------------------
</f>
        <v/>
      </c>
      <c r="G40">
        <f>== Voter 7 ===
EPIC: MFV0038794
निर्वाचक का नाम: ; शकुंतला देवी
पति का नाम: सीता राम खतवे
मकान संख्या: ; 9
उम्र: 49 वर्ष, लिंग: ; महिला
फोटो उपलब्ध
--------------------------------------------------
</f>
        <v/>
      </c>
      <c r="H40">
        <f>== Voter 8 ===
EPIC: SPJ0247962
निर्वाचक का नाम: मोहम्मद सरफ़राज
पिता का नाम: मोहम्मद वाजुद्दीन
मकान संख्या: 9
उम्र: 37 वर्ष, लिंग: पुरुष
फोटो उपलब्ध
--------------------------------------------------
</f>
        <v/>
      </c>
      <c r="I40">
        <f>== Voter 9 ===
EPIC: SPJ0590828
निर्वाचक का नाम: फकुची देवी
पति का नाम: हरीलाल
मकान संख्या: 9
उम्र: 37 वर्ष, लिंग: ; महिला
फोटो उपलब्ध
--------------------------------------------------
</f>
        <v/>
      </c>
      <c r="J40">
        <f>== Voter 10 ===
EPIC: SPJ2434876
निर्वाचक का नाम: अंजलि कुमारी
पिता का नाम: भविचन खतवे
मकान संख्या: 9
उम्र: 37 वर्ष, लिंग: महिला
फोटो उपलब्ध
--------------------------------------------------
</f>
        <v/>
      </c>
      <c r="K40">
        <f>== Voter 11 ===
EPIC: SPJ2735473
निर्वाचक का नाम: सुरेन्द्र कुमार मेहता निर्वाचक का नाम ; राजाराम मेहता निर्वाचक का नाम रेनू देवी
पिता का नाम: लखन मेहता पिता का नाम मिथलेश्वर,महेता प्रति का नाम सुरेन्द्र कुमार मेहता
मकान संख्या: 9
उम्र: 37 वर्ष
फोटो उपलब्ध
--------------------------------------------------
</f>
        <v/>
      </c>
      <c r="L40">
        <f>== Voter 12 ===
EPIC: SPJ0235523
निर्वाचक का नाम: श्याम सुन्दर खतवे
पिता का नाम: भविचन खतवे
मकान संख्या: 9
उम्र: 37 वर्ष, लिंग: पुरुष
फोटो उपलब्ध
--------------------------------------------------
</f>
        <v/>
      </c>
      <c r="M40">
        <f>== Voter 13 ===
EPIC: PJ292350
निर्वाचक का नाम: सुनीता देवी
पति का नाम: श्याम सुन्दर चौपाल
मकान संख्या: 9
उम्र: 29 वर्ष
फोटो उपलब्ध
--------------------------------------------------
</f>
        <v/>
      </c>
      <c r="N40">
        <f>== Voter 14 ===
EPIC: MFV0002328
निर्वाचक का नाम: भुनेशवर मेहता
पिता का नाम: भविचन खतवे
मकान संख्या: ; 09
उम्र: 26 वर्ष, लिंग: पुरुष
फोटो उपलब्ध
--------------------------------------------------
</f>
        <v/>
      </c>
      <c r="O40">
        <f>== Voter 15 ===
EPIC: MFV0002978
मकान संख्या: 70
उम्र: 67 वर्ष
फोटो उपलब्ध
--------------------------------------------------
</f>
        <v/>
      </c>
      <c r="P40">
        <f>== Voter 16 ===
EPIC: PJ20982403
निर्वाचक का नाम: लखन मेहता
पिता का नाम: भविचन खतवे प्रति का नाम देव नारायण खतवे पिता का नाम हरी नारायण wat
मकान संख्या: 70
उम्र: 23 वर्ष
फोटो उपलब्ध
--------------------------------------------------
</f>
        <v/>
      </c>
      <c r="Q40">
        <f>== Voter 17 ===
EPIC: SPJ2730847
निर्वाचक का नाम: लखन मेहता
मकान संख्या: 9
उम्र: 23 वर्ष
फोटो उपलब्ध
--------------------------------------------------
</f>
        <v/>
      </c>
      <c r="R40">
        <f>== Voter 18 ===
EPIC: SPJ7527228
निर्वाचक का नाम: लखन मेहता
मकान संख्या: 0 फ़ोटो उपलब्ध मकान संख्या: 0
उम्र: 53 वर्ष
फोटो उपलब्ध
--------------------------------------------------
</f>
        <v/>
      </c>
      <c r="S40">
        <f>== Voter 19 ===
EPIC: SPJ0590836
निर्वाचक का नाम: लखन मेहता
मकान संख्या: 0 फ़ोटो उपलब्ध मकान संख्या: 0
उम्र: 53 वर्ष
फोटो उपलब्ध
--------------------------------------------------
</f>
        <v/>
      </c>
      <c r="T40">
        <f>== Voter 20 ===
EPIC: SPJ2279750
निर्वाचक का नाम: लखन मेहता
मकान संख्या: 0 फ़ोटो उपलब्ध मकान संख्या: 0
उम्र: 44 वर्ष, लिंग: पुरुष
फोटो उपलब्ध
--------------------------------------------------
</f>
        <v/>
      </c>
      <c r="U40">
        <f>== Voter 21 ===
EPIC: SPJ2730896
मकान संख्या: 77
उम्र: 67 वर्ष
फोटो उपलब्ध
--------------------------------------------------
</f>
        <v/>
      </c>
      <c r="V40">
        <f>== Voter 22 ===
EPIC: SPU2279768
मकान संख्या: 0
उम्र: 33 वर्ष
फोटो उपलब्ध
--------------------------------------------------
</f>
        <v/>
      </c>
      <c r="W40">
        <f>== Voter 23 ===
EPIC: MFV7378204
मकान संख्या: 0
उम्र: 36 वर्ष
फोटो उपलब्ध
--------------------------------------------------
</f>
        <v/>
      </c>
      <c r="X40">
        <f>== Voter 24 ===
EPIC: MFV0026666
उम्र: 36 वर्ष
--------------------------------------------------
</f>
        <v/>
      </c>
      <c r="Y40">
        <f>== Voter 25 ===
EPIC: SPU2279792
निर्वाचक का नाम: भविचन खतवे प्रति का नाम देव नारायण खतवे
मकान संख्या: 4
उम्र: 36 वर्ष
फोटो उपलब्ध
--------------------------------------------------
</f>
        <v/>
      </c>
      <c r="Z40" t="inlineStr"/>
      <c r="AA40" t="inlineStr"/>
      <c r="AB40" t="inlineStr"/>
    </row>
    <row r="41">
      <c r="A41">
        <f>== Voter 1 ===
EPIC: PJ227988
निर्वाचक का नाम: ; प्रकाश कुमार चौपाल निर्वाचक का नाम प्रदीप कुमार चौपाल निर्वाचक का नाम राजेश कुमार शर्मा
पिता का नाम: देव नारायण चौपाल पिता का नाम हरी नारायण शर्म
मकान संख्या: 4
उम्र: 27 वर्ष
फोटो उपलब्ध
--------------------------------------------------
</f>
        <v/>
      </c>
      <c r="B41">
        <f>== Voter 2 ===
EPIC: PJ20279826
मकान संख्या: 4
उम्र: 27 वर्ष
फोटो उपलब्ध
--------------------------------------------------
</f>
        <v/>
      </c>
      <c r="C41">
        <f>== Voter 3 ===
EPIC: SPJ0306976
निर्वाचक का नाम: जदु सदा
पिता का नाम: विर॑ची सदा
मकान संख्या: 4
उम्र: 27 वर्ष, लिंग: पुरुष
फोटो उपलब्ध
--------------------------------------------------
</f>
        <v/>
      </c>
      <c r="D41">
        <f>== Voter 4 ===
EPIC: SPJ7858943
पति का नाम: दिलीप कुमार चौपाल
मकान संख्या: 72
उम्र: 72 वर्ष, लिंग: पुरुष
फोटो उपलब्ध
--------------------------------------------------
</f>
        <v/>
      </c>
      <c r="E41">
        <f>== Voter 5 ===
EPIC: SPJ2982429
निर्वाचक का नाम: दुखी सदा
पिता का नाम: विरंची सदा
मकान संख्या: 72
उम्र: 72 वर्ष, लिंग: पुरुष
फोटो उपलब्ध
--------------------------------------------------
</f>
        <v/>
      </c>
      <c r="F41">
        <f>== Voter 6 ===
EPIC: MFV2563930
निर्वाचक का नाम: गुलठी देवी
मकान संख्या: ॥
उम्र: 62 वर्ष, लिंग: ; महिला
फोटो उपलब्ध
--------------------------------------------------
</f>
        <v/>
      </c>
      <c r="G41">
        <f>== Voter 7 ===
EPIC: MFV0027680
निर्वाचक का नाम: उर्मिला देवी
उम्र: 62 वर्ष
--------------------------------------------------
</f>
        <v/>
      </c>
      <c r="H41">
        <f>== Voter 8 ===
EPIC: MFV2563238
पिता का नाम: जदु सदा
मकान संख्या: 72
उम्र: 52 वर्ष, लिंग: पुरुष
फोटो उपलब्ध
--------------------------------------------------
</f>
        <v/>
      </c>
      <c r="I41">
        <f>== Voter 9 ===
EPIC: MFV0099622
निर्वाचक का नाम: ; बहादुर सदा
पिता का नाम: जदु सदा
मकान संख्या: 72
उम्र: 57 वर्ष, लिंग: पुरुष
फोटो उपलब्ध
--------------------------------------------------
</f>
        <v/>
      </c>
      <c r="J41">
        <f>== Voter 10 ===
EPIC: SPJ7858935
मकान संख्या: 2
उम्र: 57 वर्ष
फोटो उपलब्ध
--------------------------------------------------
</f>
        <v/>
      </c>
      <c r="K41">
        <f>== Voter 11 ===
EPIC: SPJ7858927
निर्वाचक का नाम: सोनिया देवी
पति का नाम: राजदेव
मकान संख्या: 72
उम्र: 49 वर्ष, लिंग: महिला
फोटो उपलब्ध
--------------------------------------------------
</f>
        <v/>
      </c>
      <c r="L41">
        <f>== Voter 12 ===
EPIC: MFV0099879
निर्वाचक का नाम: ; कालिया देवी
पिता का नाम: राम प्रसाद सदा
मकान संख्या: 72
उम्र: 49 वर्ष, लिंग: महिला
फोटो उपलब्ध
--------------------------------------------------
</f>
        <v/>
      </c>
      <c r="M41">
        <f>== Voter 13 ===
EPIC: MFV2560894
निर्वाचक का नाम: रविन्द्र कुमार सदा
पिता का नाम: राजदेव सदा
मकान संख्या: 72
उम्र: 48 वर्ष, लिंग: महिला
फोटो उपलब्ध
--------------------------------------------------
</f>
        <v/>
      </c>
      <c r="N41">
        <f>== Voter 14 ===
EPIC: SPJ0590869
निर्वाचक का नाम: घोघर सदा
पिता का नाम: शीरू सद्रा
मकान संख्या: 72
उम्र: 48 वर्ष, लिंग: पुरुष
फोटो उपलब्ध
--------------------------------------------------
</f>
        <v/>
      </c>
      <c r="O41">
        <f>== Voter 15 ===
EPIC: PJ229752
निर्वाचक का नाम: ; रामलोचन खतवे
पिता का नाम: मोहन खतवे
मकान संख्या: 72
उम्र: 39 वर्ष, लिंग: महिला
फोटो उपलब्ध
--------------------------------------------------
</f>
        <v/>
      </c>
      <c r="P41">
        <f>== Voter 16 ===
EPIC: SPJ0059085
निर्वाचक का नाम: मीना देवी
पति का नाम: गंगाराम खतवे
मकान संख्या: 2
उम्र: 39 वर्ष, लिंग: महिला
फोटो उपलब्ध
--------------------------------------------------
</f>
        <v/>
      </c>
      <c r="Q41">
        <f>== Voter 17 ===
EPIC: PJ20735556
निर्वाचक का नाम: शंभू खतवे
पिता का नाम: Pree खतवे
मकान संख्या: 2
उम्र: 34 वर्ष, लिंग: महिला
फोटो उपलब्ध
--------------------------------------------------
</f>
        <v/>
      </c>
      <c r="R41">
        <f>== Voter 18 ===
EPIC: SPJ2297505
निर्वाचक का नाम: ठकनी देवी
पति का नाम: शंभु खतवे
मकान संख्या: 2
उम्र: 34 वर्ष, लिंग: पुरुष
फोटो उपलब्ध
--------------------------------------------------
</f>
        <v/>
      </c>
      <c r="S41">
        <f>== Voter 19 ===
EPIC: SPJ0229766
निर्वाचक का नाम: ; रामेश्व॑र खतवे
पिता का नाम: गोंसाइ waa
मकान संख्या: 73
उम्र: 29 वर्ष, लिंग: महिला
फोटो उपलब्ध
--------------------------------------------------
</f>
        <v/>
      </c>
      <c r="T41">
        <f>== Voter 20 ===
EPIC: SPJ2735564
निर्वाचक का नाम: ; बिजली देवी
मकान संख्या: 73 फ़ोंटो उपलब्ध
उम्र: 34 वर्ष, लिंग: महिला
--------------------------------------------------
</f>
        <v/>
      </c>
      <c r="U41">
        <f>== Voter 21 ===
EPIC: MFV0099974
मकान संख्या: 73
उम्र: 29 वर्ष, लिंग: महिला
फोटो उपलब्ध
--------------------------------------------------
</f>
        <v/>
      </c>
      <c r="V41">
        <f>== Voter 22 ===
EPIC: MFV2562304
मकान संख्या: 73
उम्र: 42 वर्ष
फोटो उपलब्ध
--------------------------------------------------
</f>
        <v/>
      </c>
      <c r="W41">
        <f>== Voter 23 ===
EPIC: SPJ0705749
मकान संख्या: 73
उम्र: 43 वर्ष
फोटो उपलब्ध
--------------------------------------------------
</f>
        <v/>
      </c>
      <c r="X41">
        <f>== Voter 24 ===
EPIC: MFV5009626
मकान संख्या: 3
उम्र: 48 वर्ष
फोटो उपलब्ध
--------------------------------------------------
</f>
        <v/>
      </c>
      <c r="Y41">
        <f>== Voter 25 ===
EPIC: MFV0096699
--------------------------------------------------
</f>
        <v/>
      </c>
      <c r="Z41">
        <f>== Voter 26 ===
EPIC: MFV0025072
मकान संख्या: ; 4
उम्र: 48 वर्ष
फोटो उपलब्ध
--------------------------------------------------
</f>
        <v/>
      </c>
      <c r="AA41" t="inlineStr"/>
      <c r="AB41" t="inlineStr"/>
    </row>
    <row r="42">
      <c r="A42">
        <f>== Voter 1 ===
EPIC: MFV2560902
निर्वाचक का नाम: श्यामा देवी
पति का नाम: रामेश्वर खतवे पति का नाम बुलाकी दास पिता का नाम बुलाकी दास
मकान संख्या: 6
उम्र: 45 वर्ष
फोटो उपलब्ध
--------------------------------------------------
</f>
        <v/>
      </c>
      <c r="B42">
        <f>== Voter 2 ===
EPIC: SPJ0858950
मकान संख्या: 6
उम्र: 45 वर्ष
फोटो उपलब्ध
--------------------------------------------------
</f>
        <v/>
      </c>
      <c r="C42">
        <f>== Voter 3 ===
EPIC: SPUI858968
निर्वाचक का नाम: शांति देवी
पति का नाम: सीताराम
मकान संख्या: 6
उम्र: 45 वर्ष, लिंग: महिला
फोटो उपलब्ध
--------------------------------------------------
</f>
        <v/>
      </c>
      <c r="D42">
        <f>== Voter 4 ===
EPIC: MFV0096537
निर्वाचक का नाम: संतोष कुमार चौपाल
पिता का नाम: राम दास चौपाल
मकान संख्या: 6
उम्र: 45 वर्ष, लिंग: ; पुरुष
फोटो उपलब्ध
--------------------------------------------------
</f>
        <v/>
      </c>
      <c r="E42">
        <f>== Voter 5 ===
EPIC: SPJ2735549
निर्वाचक का नाम: झमेली शर्मा
पिता का नाम: ब्रहमदेव शर्मा
मकान संख्या: ; 77 फ़ोटो उपलब्ध
उम्र: 27 वर्ष
--------------------------------------------------
</f>
        <v/>
      </c>
      <c r="F42">
        <f>== Voter 6 ===
EPIC: MFV0096545
निर्वाचक का नाम: अनानवती देवी
पति का नाम: विष्णुदेव
मकान संख्या: 77 फ़ोटो उपलब्ध
उम्र: 67 वर्ष, लिंग: महिला
--------------------------------------------------
</f>
        <v/>
      </c>
      <c r="G42">
        <f>== Voter 7 ===
EPIC: SPJ0590877
निर्वाचक का नाम: ; लालों देवी
पिता का नाम: विसुनदेव चौपाल
मकान संख्या: 77
उम्र: 67 वर्ष, लिंग: पुरुष
फोटो उपलब्ध
--------------------------------------------------
</f>
        <v/>
      </c>
      <c r="H42">
        <f>== Voter 8 ===
EPIC: SPJ0590885
निर्वाचक का नाम: ; शनिचरी देवी
पति का नाम: बुद्ध नारायण
मकान संख्या: 7
उम्र: 47 वर्ष, लिंग: ; महिला
फोटो उपलब्ध
--------------------------------------------------
</f>
        <v/>
      </c>
      <c r="I42">
        <f>== Voter 9 ===
EPIC: SPJ2730904
निर्वाचक का नाम: रामचन्द्र चौपाल
पिता का नाम: बुधराम चौपाल
मकान संख्या: 7
उम्र: 47 वर्ष, लिंग: पुरुष
फोटो उपलब्ध
--------------------------------------------------
</f>
        <v/>
      </c>
      <c r="J42">
        <f>== Voter 10 ===
EPIC: MFVI375589
निर्वाचक का नाम: रानी देवी
पति का नाम: रामचन्द्र चौपाल
मकान संख्या: 7
उम्र: 47 वर्ष, लिंग: महिला
फोटो उपलब्ध
--------------------------------------------------
</f>
        <v/>
      </c>
      <c r="K42">
        <f>== Voter 11 ===
EPIC: MFV0256407
निर्वाचक का नाम: ; सुनीता देवी
पिता का नाम: बुधराम चौपाल
मकान संख्या: 78
उम्र: 62 वर्ष, लिंग: पुरुष
फोटो उपलब्ध
--------------------------------------------------
</f>
        <v/>
      </c>
      <c r="L42">
        <f>== Voter 12 ===
EPIC: SPJ0033748
निर्वाचक का नाम: गायत्री देवी
पिता का नाम: बुधराम चौपाल
मकान संख्या: 78
उम्र: 62 वर्ष, लिंग: महिला
फोटो उपलब्ध
--------------------------------------------------
</f>
        <v/>
      </c>
      <c r="M42">
        <f>== Voter 13 ===
EPIC: MFV2563450
निर्वाचक का नाम: सींता देवी निर्वाचक का नाम राजकुमार चौपाल
पति का नाम: श्यामदेव पिता का नाम सूर्य नारायण
मकान संख्या: 78
उम्र: 47 वर्ष
फोटो उपलब्ध
--------------------------------------------------
</f>
        <v/>
      </c>
      <c r="N42">
        <f>== Voter 14 ===
EPIC: MFV0009762
निर्वाचक का नाम: शिव नारायण चौपाल
पिता का नाम: श्यामदेव
मकान संख्या: 8
उम्र: 43 वर्ष, लिंग: पुरुष
फोटो उपलब्ध
--------------------------------------------------
</f>
        <v/>
      </c>
      <c r="O42">
        <f>== Voter 15 ===
EPIC: SPJ0373577
निर्वाचक का नाम: आशा कुमारी
पति का नाम: ; पवन कुमार चौपाल
मकान संख्या: 78
उम्र: 32 वर्ष, लिंग: महिला
फोटो उपलब्ध
--------------------------------------------------
</f>
        <v/>
      </c>
      <c r="P42">
        <f>== Voter 16 ===
EPIC: MFV2564052
निर्वाचक का नाम: श्यामदेव
पिता का नाम: श्याम देव चौपाल
मकान संख्या: 9
उम्र: 42 वर्ष, लिंग: पुरुष
फोटो उपलब्ध
--------------------------------------------------
</f>
        <v/>
      </c>
      <c r="Q42">
        <f>== Voter 17 ===
EPIC: MFV2563443
निर्वाचक का नाम: श्यामदेव
पिता का नाम: विसुन
मकान संख्या: 9
उम्र: 62 वर्ष, लिंग: ; पुरुष
फोटो उपलब्ध
--------------------------------------------------
</f>
        <v/>
      </c>
      <c r="R42">
        <f>== Voter 18 ===
EPIC: PJ20874832
निर्वाचक का नाम: दयानंद कुमार चौपाल निर्वाचक का नाम ; कुवियादेवी
माता का नाम: सुन्दरी देवी प्रति का नाम विसुन
मकान संख्या: 20
उम्र: 40 वर्ष, लिंग: महिला
फोटो उपलब्ध
--------------------------------------------------
</f>
        <v/>
      </c>
      <c r="S42">
        <f>== Voter 19 ===
EPIC: MFV0002376
मकान संख्या: 20
उम्र: 40 वर्ष, लिंग: महिला
फोटो उपलब्ध
--------------------------------------------------
</f>
        <v/>
      </c>
      <c r="T42">
        <f>== Voter 20 ===
EPIC: SPJ2735507
मकान संख्या: 20
उम्र: 38 वर्ष, लिंग: पुरुष
फोटो उपलब्ध
--------------------------------------------------
</f>
        <v/>
      </c>
      <c r="U42">
        <f>== Voter 21 ===
EPIC: SPJ7858984
मकान संख्या: 20
उम्र: 38 वर्ष
फोटो उपलब्ध
--------------------------------------------------
</f>
        <v/>
      </c>
      <c r="V42">
        <f>== Voter 22 ===
EPIC: MFV0023200
मकान संख्या: ; 2
उम्र: 64 वर्ष
फोटो उपलब्ध
--------------------------------------------------
</f>
        <v/>
      </c>
      <c r="W42" t="inlineStr"/>
      <c r="X42" t="inlineStr"/>
      <c r="Y42" t="inlineStr"/>
      <c r="Z42" t="inlineStr"/>
      <c r="AA42" t="inlineStr"/>
      <c r="AB42" t="inlineStr"/>
    </row>
    <row r="43">
      <c r="A43">
        <f>== Voter 1 ===
EPIC: MFV0002774
निर्वाचक का नाम: मोलीया देवी
पति का नाम: महंथी चौपाल पति का नाम बद्री प्रति का नाम सकलदेव
मकान संख्या: 27
उम्र: 57 वर्ष
फोटो उपलब्ध
--------------------------------------------------
</f>
        <v/>
      </c>
      <c r="B43">
        <f>== Voter 2 ===
EPIC: SPJ0858976
मकान संख्या: 27
उम्र: 57 वर्ष
फोटो उपलब्ध
--------------------------------------------------
</f>
        <v/>
      </c>
      <c r="C43">
        <f>== Voter 3 ===
EPIC: SPJ2730862
निर्वाचक का नाम: ममता देवी
पिता का नाम: बद्री शर्मा
मकान संख्या: 24 = उपलब्ध
उम्र: 57 वर्ष, लिंग: महिला
--------------------------------------------------
</f>
        <v/>
      </c>
      <c r="D43">
        <f>== Voter 4 ===
EPIC: SPJ2928539
पति का नाम: प्रथ्वी लाल शर्मा
मकान संख्या: ; 27
उम्र: 57 वर्ष
फोटो उपलब्ध
--------------------------------------------------
</f>
        <v/>
      </c>
      <c r="E43">
        <f>== Voter 5 ===
EPIC: SPJI678966
निर्वाचक का नाम: बहुरी सदा
मकान संख्या: ; 27
फोटो उपलब्ध
--------------------------------------------------
</f>
        <v/>
      </c>
      <c r="F43">
        <f>== Voter 6 ===
EPIC: SPJ0527533
निर्वाचक का नाम: जलेस सदा
पिता का नाम: स्वरूप सदा
मकान संख्या: 27
उम्र: 52 वर्ष, लिंग: पुरुष
फोटो उपलब्ध
--------------------------------------------------
</f>
        <v/>
      </c>
      <c r="G43">
        <f>== Voter 7 ===
EPIC: SPJ0797092
निर्वाचक का नाम: मलिया देवी
पति का नाम: बहुरी सदा
मकान संख्या: 22 फ़ोटो उपलब्ध
उम्र: 52 वर्ष, लिंग: महिला
--------------------------------------------------
</f>
        <v/>
      </c>
      <c r="H43">
        <f>== Voter 8 ===
EPIC: SPJ7858992
मकान संख्या: 22
उम्र: 52 वर्ष
फोटो उपलब्ध
--------------------------------------------------
</f>
        <v/>
      </c>
      <c r="I43">
        <f>== Voter 9 ===
EPIC: SPJ0678974
निर्वाचक का नाम: जागेश्वर सदा
पिता का नाम: राम प्रसाद सदा
मकान संख्या: 22
उम्र: 50 वर्ष, लिंग: पुरुष
फोटो उपलब्ध
--------------------------------------------------
</f>
        <v/>
      </c>
      <c r="J43">
        <f>== Voter 10 ===
EPIC: SPJ7859008
निर्वाचक का नाम: गीता कुमारी
पिता का नाम: बहरी
मकान संख्या: 22
उम्र: 50 वर्ष
फोटो उपलब्ध
--------------------------------------------------
</f>
        <v/>
      </c>
      <c r="K43">
        <f>== Voter 11 ===
EPIC: SPJ0032900
निर्वाचक का नाम: जिलेबी खतवे
पिता का नाम: राम प्रसाद सदा
मकान संख्या: 22
उम्र: 50 वर्ष, लिंग: पुरुष
फोटो उपलब्ध
--------------------------------------------------
</f>
        <v/>
      </c>
      <c r="L43">
        <f>== Voter 12 ===
EPIC: SPJ0797200
निर्वाचक का नाम: ; बौकियादेवी
पिता का नाम: राम प्रसाद सदा
मकान संख्या: 22
उम्र: 50 वर्ष, लिंग: महिला
फोटो उपलब्ध
--------------------------------------------------
</f>
        <v/>
      </c>
      <c r="M43">
        <f>== Voter 13 ===
EPIC: SPJ2858280
निर्वाचक का नाम: ; शनिचर खतवे
पिता का नाम: महाबीर
मकान संख्या: 23 फ़ोटो उपलब्ध
उम्र: 47 वर्ष, लिंग: पुरुष
--------------------------------------------------
</f>
        <v/>
      </c>
      <c r="N43">
        <f>== Voter 14 ===
EPIC: MFV5008677
निर्वाचक का नाम: असियादेवी
पति का नाम: जिलेवी खतवे
मकान संख्या: 24
उम्र: 35 वर्ष, लिंग: महिला
फोटो उपलब्ध
--------------------------------------------------
</f>
        <v/>
      </c>
      <c r="O43">
        <f>== Voter 15 ===
EPIC: MFV0002845
निर्वाचक का नाम: ; धन्द्रा देवी
पिता का नाम: गुजाड
मकान संख्या: 24
उम्र: 57 वर्ष, लिंग: महिला
फोटो उपलब्ध
--------------------------------------------------
</f>
        <v/>
      </c>
      <c r="P43">
        <f>== Voter 16 ===
EPIC: MFV0099705
निर्वाचक का नाम: ; कमली देवी
पति का नाम: ; छुतहरू खतवे
मकान संख्या: 23
उम्र: 52 वर्ष, लिंग: ! : महिला
फोटो उपलब्ध
--------------------------------------------------
</f>
        <v/>
      </c>
      <c r="Q43">
        <f>== Voter 17 ===
EPIC: MFV0024786
निर्वाचक का नाम: मुन्नी देवी
पिता का नाम: जिलेबी खतवे
मकान संख्या: 24
उम्र: 48 वर्ष, लिंग: महिला
फोटो उपलब्ध
--------------------------------------------------
</f>
        <v/>
      </c>
      <c r="R43">
        <f>== Voter 18 ===
EPIC: SPJ0859024
मकान संख्या: 24
उम्र: 49 वर्ष, लिंग: ; पुरुष
फोटो उपलब्ध
--------------------------------------------------
</f>
        <v/>
      </c>
      <c r="S43">
        <f>== Voter 19 ===
EPIC: MFV0003847
निर्वाचक का नाम: रामेश्वर खतवे
मकान संख्या: 24
उम्र: 57 वर्ष
फोटो उपलब्ध
--------------------------------------------------
</f>
        <v/>
      </c>
      <c r="T43">
        <f>== Voter 20 ===
EPIC: MFV0099226
निर्वाचक का नाम: ; गिरजा खतवे
पिता का नाम: लेद खतवे
मकान संख्या: 24
उम्र: 57 वर्ष, लिंग: ; पुरुष
फोटो उपलब्ध
--------------------------------------------------
</f>
        <v/>
      </c>
      <c r="U43">
        <f>== Voter 21 ===
EPIC: MEV0009829
निर्वाचक का नाम: ; रघु खतवे
पिता का नाम: जिलेबी
मकान संख्या: 24
उम्र: 46 वर्ष, लिंग: पुरुष
फोटो उपलब्ध
--------------------------------------------------
</f>
        <v/>
      </c>
      <c r="V43">
        <f>== Voter 22 ===
EPIC: MFV2567603
मकान संख्या: 24
उम्र: 48 वर्ष
फोटो उपलब्ध
--------------------------------------------------
</f>
        <v/>
      </c>
      <c r="W43">
        <f>== Voter 23 ===
EPIC: MFV2564060
उम्र: 48 वर्ष
--------------------------------------------------
</f>
        <v/>
      </c>
      <c r="X43">
        <f>== Voter 24 ===
EPIC: MFV5009220
मकान संख्या: 24
उम्र: 43 वर्ष
फोटो उपलब्ध
--------------------------------------------------
</f>
        <v/>
      </c>
      <c r="Y43">
        <f>== Voter 25 ===
EPIC: MFV2562825
मकान संख्या: 24
उम्र: 43 वर्ष
फोटो उपलब्ध
--------------------------------------------------
</f>
        <v/>
      </c>
      <c r="Z43" t="inlineStr"/>
      <c r="AA43" t="inlineStr"/>
      <c r="AB43" t="inlineStr"/>
    </row>
    <row r="44">
      <c r="A44">
        <f>== Voter 1 ===
EPIC: SPJ0590893
निर्वाचक का नाम: गुलिया देवी
पति का नाम: राजेश्वर शर्मा पिता का नाम जिलेवी खतवे प्रति का नाम शनिचर खतवे
मकान संख्या: 24
उम्र: 42 वर्ष
फोटो उपलब्ध
--------------------------------------------------
</f>
        <v/>
      </c>
      <c r="B44">
        <f>== Voter 2 ===
EPIC: SPJ7527577
मकान संख्या: 24
उम्र: 42 वर्ष
फोटो उपलब्ध
--------------------------------------------------
</f>
        <v/>
      </c>
      <c r="C44">
        <f>== Voter 3 ===
EPIC: SPJ0273555
निर्वाचक का नाम: संतोष कुमार
पिता का नाम: रामेश्वर खाटवे
मकान संख्या: ; 24
उम्र: 42 वर्ष, लिंग: ; पुरुष
फोटो उपलब्ध
--------------------------------------------------
</f>
        <v/>
      </c>
      <c r="D44">
        <f>== Voter 4 ===
EPIC: PJ230888
निर्वाचक का नाम: सोनू कुमार
पिता का नाम: हरी नारायण खातवे
मकान संख्या: ; 24
उम्र: 27 वर्ष, लिंग: ; पुरुष
फोटो उपलब्ध
--------------------------------------------------
</f>
        <v/>
      </c>
      <c r="E44">
        <f>== Voter 5 ===
EPIC: SPJ0293764
निर्वाचक का नाम: ; दिनेश ख़तवे
पिता का नाम: लेढू ख़तवे
उम्र: 27 वर्ष, लिंग: पुरुष
--------------------------------------------------
</f>
        <v/>
      </c>
      <c r="F44">
        <f>== Voter 6 ===
EPIC: SP292866
उम्र: 79 वर्ष, लिंग: पुरुष
--------------------------------------------------
</f>
        <v/>
      </c>
      <c r="G44">
        <f>== Voter 7 ===
EPIC: PJ20879393
निर्वाचक का नाम: फूलो देवी
पिता का नाम: पंचु खतवे
मकान संख्या: 25
उम्र: 42 वर्ष, लिंग: पुरुष
फोटो उपलब्ध
--------------------------------------------------
</f>
        <v/>
      </c>
      <c r="H44">
        <f>== Voter 8 ===
EPIC: SPJ0590907
निर्वाचक का नाम: ; श्यामदेव खतवे
पिता का नाम: खुसर खतवे
मकान संख्या: 25
उम्र: 45 वर्ष, लिंग: पुरुष
फोटो उपलब्ध
--------------------------------------------------
</f>
        <v/>
      </c>
      <c r="I44">
        <f>== Voter 9 ===
EPIC: PJ20735457
निर्वाचक का नाम: ; राम नाथ खतवे
पिता का नाम: लक्ष्मण खतवे
मकान संख्या: 25
उम्र: 42 वर्ष, लिंग: पुरुष
फोटो उपलब्ध
--------------------------------------------------
</f>
        <v/>
      </c>
      <c r="J44">
        <f>== Voter 10 ===
EPIC: MFV0500972
निर्वाचक का नाम: ; सिवन खतवे
पिता का नाम: लक्षमण खतवे
मकान संख्या: 25
उम्र: 70 वर्ष, लिंग: पुरुष
फोटो उपलब्ध
--------------------------------------------------
</f>
        <v/>
      </c>
      <c r="K44">
        <f>== Voter 11 ===
EPIC: SPJ0230763
निर्वाचक का नाम: दुर्गा देवी
पति का नाम: दिनेश खात्वे
मकान संख्या: 25
उम्र: 70 वर्ष, लिंग: महिला
फोटो उपलब्ध
--------------------------------------------------
</f>
        <v/>
      </c>
      <c r="L44">
        <f>== Voter 12 ===
EPIC: MFV0029389
निर्वाचक का नाम: सावित्री देवी
मकान संख्या: 27
उम्र: 40 वर्ष, लिंग: महिला
फोटो उपलब्ध
--------------------------------------------------
</f>
        <v/>
      </c>
      <c r="M44">
        <f>== Voter 13 ===
EPIC: SPJ0032686
निर्वाचक का नाम: ; जयपस्राद खतवे
पिता का नाम: का लक्ष्मण
मकान संख्या: 27
उम्र: 62 वर्ष, लिंग: पुरुष
फोटो उपलब्ध
--------------------------------------------------
</f>
        <v/>
      </c>
      <c r="N44">
        <f>== Voter 14 ===
EPIC: MFV2562940
निर्वाचक का नाम: कदमी खतवे
पिता का नाम: रामपसाद
मकान संख्या: 26
उम्र: 42 वर्ष, लिंग: ! : पुरुष
फोटो उपलब्ध
--------------------------------------------------
</f>
        <v/>
      </c>
      <c r="O44">
        <f>== Voter 15 ===
EPIC: MFV0027805
निर्वाचक का नाम: रामपस्राद खतवे
पिता का नाम: वासुदेव
मकान संख्या: 27
उम्र: 57 वर्ष, लिंग: पुरुष
फोटो उपलब्ध
--------------------------------------------------
</f>
        <v/>
      </c>
      <c r="P44">
        <f>== Voter 16 ===
EPIC: SPJ0590927
निर्वाचक का नाम: ; देव नारयाण शर्मा
पिता का नाम: SPST शर्मा
मकान संख्या: 27
उम्र: 57 वर्ष, लिंग: ; पुरुष
फोटो उपलब्ध
--------------------------------------------------
</f>
        <v/>
      </c>
      <c r="Q44">
        <f>== Voter 17 ===
EPIC: SPJ2279644
निर्वाचक का नाम: राज कुमार खतवे निर्वाचक का नाम; सुलेखा देवी
पिता का नाम: थनी लाल खतवे प्रति का नाम राज कुमार खतवे
उम्र: 39 वर्ष
--------------------------------------------------
</f>
        <v/>
      </c>
      <c r="R44">
        <f>== Voter 18 ===
EPIC: MFV0038943
मकान संख्या: 28
उम्र: 30 वर्ष, लिंग: पुरुष
फोटो उपलब्ध
--------------------------------------------------
</f>
        <v/>
      </c>
      <c r="S44">
        <f>== Voter 19 ===
EPIC: MFV0027375
मकान संख्या: 28
उम्र: 47 वर्ष
फोटो उपलब्ध
--------------------------------------------------
</f>
        <v/>
      </c>
      <c r="T44">
        <f>== Voter 20 ===
EPIC: SPJ0859040
मकान संख्या: 28
उम्र: 48 वर्ष
फोटो उपलब्ध
--------------------------------------------------
</f>
        <v/>
      </c>
      <c r="U44">
        <f>== Voter 21 ===
EPIC: SPJ0590935
मकान संख्या: 28
उम्र: 57 वर्ष
फोटो उपलब्ध
--------------------------------------------------
</f>
        <v/>
      </c>
      <c r="V44">
        <f>== Voter 22 ===
EPIC: SPJ2279628
मकान संख्या: 28
उम्र: 43 वर्ष
फोटो उपलब्ध
--------------------------------------------------
</f>
        <v/>
      </c>
      <c r="W44" t="inlineStr"/>
      <c r="X44" t="inlineStr"/>
      <c r="Y44" t="inlineStr"/>
      <c r="Z44" t="inlineStr"/>
      <c r="AA44" t="inlineStr"/>
      <c r="AB44" t="inlineStr"/>
    </row>
    <row r="45">
      <c r="A45">
        <f>== Voter 1 ===
EPIC: SPJ7753774
निर्वाचक का नाम: ; निर्मल ऋषि
पति का नाम: देव नारायण मंडल पिता का नाम कनिकलाल मंडल
मकान संख्या: 29
उम्र: 28 वर्ष
फोटो उपलब्ध
--------------------------------------------------
</f>
        <v/>
      </c>
      <c r="B45">
        <f>== Voter 2 ===
EPIC: MFV0026682
मकान संख्या: 29
उम्र: 28 वर्ष
फोटो उपलब्ध
--------------------------------------------------
</f>
        <v/>
      </c>
      <c r="C45">
        <f>== Voter 3 ===
EPIC: MFV0097238
निर्वाचक का नाम: रामसागर मंडल
पिता का नाम: कनिक मण्डल
मकान संख्या: 29
उम्र: 28 वर्ष, लिंग: पुरुष
फोटो उपलब्ध
--------------------------------------------------
</f>
        <v/>
      </c>
      <c r="D45">
        <f>== Voter 4 ===
EPIC: MFV0096834
निर्वाचक का नाम: सतनी देवी
पति का नाम: ; रामसागर मण्डल
मकान संख्या: ; 29
उम्र: 28 वर्ष, लिंग: ; महिला
फोटो उपलब्ध
--------------------------------------------------
</f>
        <v/>
      </c>
      <c r="E45">
        <f>== Voter 5 ===
EPIC: MFV0026328
निर्वाचक का नाम: ; रविन्द्र मंडल
पिता का नाम: महादेव मंडल
मकान संख्या: ; 29
उम्र: 65 वर्ष, लिंग: ; महिला
फोटो उपलब्ध
--------------------------------------------------
</f>
        <v/>
      </c>
      <c r="F45">
        <f>== Voter 6 ===
EPIC: MFV0099872
निर्वाचक का नाम: अजय कुमार उरांव
पिता का नाम: फनी लाल उरांव
उम्र: 65 वर्ष, लिंग: पुरुष
--------------------------------------------------
</f>
        <v/>
      </c>
      <c r="G45">
        <f>== Voter 7 ===
EPIC: MFV0023929
निर्वाचक का नाम: गंगा मंडल
पिता का नाम: रोनो मंडल
मकान संख्या: 29
उम्र: 65 वर्ष, लिंग: पुरुष
फोटो उपलब्ध
--------------------------------------------------
</f>
        <v/>
      </c>
      <c r="H45">
        <f>== Voter 8 ===
EPIC: PJ00590943
निर्वाचक का नाम: श्रवण मुखिया
पिता का नाम: बच्चा लाल मुखिया
मकान संख्या: 29
उम्र: 57 वर्ष, लिंग: पुरुष
फोटो उपलब्ध
--------------------------------------------------
</f>
        <v/>
      </c>
      <c r="I45">
        <f>== Voter 9 ===
EPIC: MFV5009600
निर्वाचक का नाम: ; शिव नारायण उरांव
पिता का नाम: नुनु लाल उरांव
मकान संख्या: 32 फ़ोटो उपलब्ध
उम्र: 48 वर्ष, लिंग: पुरुष
फोटो उपलब्ध
--------------------------------------------------
</f>
        <v/>
      </c>
      <c r="J45">
        <f>== Voter 10 ===
EPIC: MFV5009485
निर्वाचक का नाम: मेनका देवी
पति का नाम: ढोढन wad
उम्र: 48 वर्ष, लिंग: महिला
--------------------------------------------------
</f>
        <v/>
      </c>
      <c r="K45">
        <f>== Voter 11 ===
EPIC: SPJ0590950
निर्वाचक का नाम: नौरी देवी
मकान संख्या: 37
उम्र: 48 वर्ष, लिंग: महिला
फोटो उपलब्ध
--------------------------------------------------
</f>
        <v/>
      </c>
      <c r="L45">
        <f>== Voter 12 ===
EPIC: MFV2678797
निर्वाचक का नाम: ; यशोधा देवी
पिता का नाम: महेश मंडल
मकान संख्या: 30
उम्र: 40 वर्ष, लिंग: महिला
फोटो उपलब्ध
--------------------------------------------------
</f>
        <v/>
      </c>
      <c r="M45">
        <f>== Voter 13 ===
EPIC: SPJ0033395
निर्वाचक का नाम: पुनम देवी
पिता का नाम: सुमरू उरांव
मकान संख्या: 30
उम्र: 40 वर्ष, लिंग: ! ; महिला
फोटो उपलब्ध
--------------------------------------------------
</f>
        <v/>
      </c>
      <c r="N45">
        <f>== Voter 14 ===
EPIC: SPJ0777629
निर्वाचक का नाम: ; सुरेन्द्र शर्मा
पिता का नाम: मंहयी शर्मा
मकान संख्या: 34
उम्र: 70 वर्ष, लिंग: ; पुरुष
फोटो उपलब्ध
--------------------------------------------------
</f>
        <v/>
      </c>
      <c r="O45">
        <f>== Voter 15 ===
EPIC: MFV5009337
निर्वाचक का नाम: शकुंतला देवी निर्वाचक का नाम ; कौशल्या देवी
पति का नाम: श्याम सुन्दर मंडल प्रति का नाम शिकम मंडल
मकान संख्या: 33
उम्र: 55 वर्ष, लिंग: पुरुष
फोटो उपलब्ध
--------------------------------------------------
</f>
        <v/>
      </c>
      <c r="P45">
        <f>== Voter 16 ===
EPIC: MFV0098939
मकान संख्या: 34
उम्र: 55 वर्ष
फोटो उपलब्ध
--------------------------------------------------
</f>
        <v/>
      </c>
      <c r="Q45">
        <f>== Voter 17 ===
EPIC: MFV5009824
मकान संख्या: 34
उम्र: 67 वर्ष
फोटो उपलब्ध
--------------------------------------------------
</f>
        <v/>
      </c>
      <c r="R45">
        <f>== Voter 18 ===
EPIC: SPJ0373520
मकान संख्या: 35
उम्र: 50 वर्ष
फोटो उपलब्ध
--------------------------------------------------
</f>
        <v/>
      </c>
      <c r="S45">
        <f>== Voter 19 ===
EPIC: SPJ0590968
मकान संख्या: 35
उम्र: 50 वर्ष
फोटो उपलब्ध
--------------------------------------------------
</f>
        <v/>
      </c>
      <c r="T45">
        <f>== Voter 20 ===
EPIC: MFV2564447
मकान संख्या: 35
उम्र: 47 वर्ष, लिंग: पुरुष
फोटो उपलब्ध
--------------------------------------------------
</f>
        <v/>
      </c>
      <c r="U45">
        <f>== Voter 21 ===
EPIC: SPJ0590976
उम्र: 42 वर्ष
--------------------------------------------------
</f>
        <v/>
      </c>
      <c r="V45">
        <f>== Voter 22 ===
EPIC: PJ037275
उम्र: 42 वर्ष
--------------------------------------------------
</f>
        <v/>
      </c>
      <c r="W45">
        <f>== Voter 23 ===
EPIC: SPJ2730789
मकान संख्या: 38
उम्र: 42 वर्ष
फोटो उपलब्ध
--------------------------------------------------
</f>
        <v/>
      </c>
      <c r="X45">
        <f>== Voter 24 ===
EPIC: SPJ0597008
मकान संख्या: 37
उम्र: 44 वर्ष
फोटो उपलब्ध
--------------------------------------------------
</f>
        <v/>
      </c>
      <c r="Y45">
        <f>== Voter 25 ===
EPIC: MFV2562338
मकान संख्या: ; 40
उम्र: 44 वर्ष
फोटो उपलब्ध
--------------------------------------------------
</f>
        <v/>
      </c>
      <c r="Z45">
        <f>== Voter 26 ===
EPIC: PJ00590984
मकान संख्या: ; 40
उम्र: 44 वर्ष
फोटो उपलब्ध
--------------------------------------------------
</f>
        <v/>
      </c>
      <c r="AA45" t="inlineStr"/>
      <c r="AB45" t="inlineStr"/>
    </row>
    <row r="46">
      <c r="A46">
        <f>== Voter 1 ===
EPIC: SPJ0597026
मकान संख्या: 40
उम्र: 44 वर्ष
फोटो उपलब्ध
--------------------------------------------------
</f>
        <v/>
      </c>
      <c r="B46">
        <f>== Voter 2 ===
EPIC: SPJ0590992
मकान संख्या: 40
उम्र: 44 वर्ष
फोटो उपलब्ध
--------------------------------------------------
</f>
        <v/>
      </c>
      <c r="C46">
        <f>== Voter 3 ===
EPIC: SPJ0273548
मकान संख्या: 40
उम्र: 44 वर्ष
फोटो उपलब्ध
--------------------------------------------------
</f>
        <v/>
      </c>
      <c r="D46">
        <f>== Voter 4 ===
EPIC: PJ00920025
मकान संख्या: 40
उम्र: 45 वर्ष, लिंग: ; पुरुष
फोटो उपलब्ध
--------------------------------------------------
</f>
        <v/>
      </c>
      <c r="E46">
        <f>== Voter 5 ===
EPIC: SPJ0442632
मकान संख्या: 44
उम्र: 45 वर्ष
फोटो उपलब्ध
--------------------------------------------------
</f>
        <v/>
      </c>
      <c r="F46">
        <f>== Voter 6 ===
EPIC: SPJ0033007
मकान संख्या: 44
उम्र: 40 वर्ष, लिंग: ; महिला
फोटो उपलब्ध
--------------------------------------------------
</f>
        <v/>
      </c>
      <c r="G46">
        <f>== Voter 7 ===
EPIC: MFV0038778
मकान संख्या: 43
उम्र: 40 वर्ष
फोटो उपलब्ध
--------------------------------------------------
</f>
        <v/>
      </c>
      <c r="H46">
        <f>== Voter 8 ===
EPIC: SPJ0442749
मकान संख्या: 43
उम्र: 53 वर्ष
फोटो उपलब्ध
--------------------------------------------------
</f>
        <v/>
      </c>
      <c r="I46">
        <f>== Voter 9 ===
EPIC: MFV0026354
मकान संख्या: 43
उम्र: 49 वर्ष, लिंग: महिला
फोटो उपलब्ध
--------------------------------------------------
</f>
        <v/>
      </c>
      <c r="J46">
        <f>== Voter 10 ===
EPIC: SPJ0297294
पिता का नाम: प्रेम कुमार यादव
मकान संख्या: 43
उम्र: 44 वर्ष
फोटो उपलब्ध
--------------------------------------------------
</f>
        <v/>
      </c>
      <c r="K46">
        <f>== Voter 11 ===
EPIC: SPJ7760503
पिता का नाम: राम पुकार मेहता
मकान संख्या: 43
उम्र: 23 वर्ष
फोटो उपलब्ध
--------------------------------------------------
</f>
        <v/>
      </c>
      <c r="L46">
        <f>== Voter 12 ===
EPIC: MFV0099523
मकान संख्या: 43
उम्र: 29 वर्ष
फोटो उपलब्ध
--------------------------------------------------
</f>
        <v/>
      </c>
      <c r="M46">
        <f>== Voter 13 ===
EPIC: SPJ7859057
मकान संख्या: 44
उम्र: 49 वर्ष
फोटो उपलब्ध
--------------------------------------------------
</f>
        <v/>
      </c>
      <c r="N46">
        <f>== Voter 14 ===
EPIC: SPJ3068509
मकान संख्या: 44
उम्र: 48 वर्ष, लिंग: महिला
फोटो उपलब्ध
--------------------------------------------------
</f>
        <v/>
      </c>
      <c r="O46">
        <f>== Voter 15 ===
EPIC: SPJ0442699
मकान संख्या: 44
फोटो उपलब्ध
--------------------------------------------------
</f>
        <v/>
      </c>
      <c r="P46">
        <f>== Voter 16 ===
EPIC: MFV0024778
मकान संख्या: 44
फोटो उपलब्ध
--------------------------------------------------
</f>
        <v/>
      </c>
      <c r="Q46">
        <f>== Voter 17 ===
EPIC: SPJ0372983
मकान संख्या: 44
फोटो उपलब्ध
--------------------------------------------------
</f>
        <v/>
      </c>
      <c r="R46">
        <f>== Voter 18 ===
EPIC: SPJ0597040
मकान संख्या: 44
फोटो उपलब्ध
--------------------------------------------------
</f>
        <v/>
      </c>
      <c r="S46">
        <f>== Voter 19 ===
EPIC: SPJ3020559
निर्वाचक का नाम: नटाई खतवे
मकान संख्या: 44
फोटो उपलब्ध
--------------------------------------------------
</f>
        <v/>
      </c>
      <c r="T46">
        <f>== Voter 20 ===
EPIC: MFV0029645
निर्वाचक का नाम: नटाई खतवे
मकान संख्या: 45
उम्र: 38 वर्ष
फोटो उपलब्ध
--------------------------------------------------
</f>
        <v/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>
        <f>== Voter 1 ===
EPIC: SPJ0827442
निर्वाचक का नाम: ; सुशीला देवी निर्वाचक का are सुनिता देवी निर्वाचक का नाम श्याम कुमार सदा
पति का नाम: श्याम कुमार सदा
मकान संख्या: 46
उम्र: 48 वर्ष
फोटो उपलब्ध
--------------------------------------------------
</f>
        <v/>
      </c>
      <c r="B47">
        <f>== Voter 2 ===
EPIC: SPJ7827459
मकान संख्या: 46
उम्र: 48 वर्ष
फोटो उपलब्ध
--------------------------------------------------
</f>
        <v/>
      </c>
      <c r="C47">
        <f>== Voter 3 ===
EPIC: SPJ2884385
निर्वाचक का नाम: रेवनी देवी
पति का नाम: श्याम सदा
मकान संख्या: 46
उम्र: 48 वर्ष
फोटो उपलब्ध
--------------------------------------------------
</f>
        <v/>
      </c>
      <c r="D47">
        <f>== Voter 4 ===
EPIC: PUI0822434
निर्वाचक का नाम: शंकर सदा
पिता का नाम: रामप्रसाद सदा
मकान संख्या: 46
उम्र: 39 वर्ष, लिंग: पुरुष
फोटो उपलब्ध
--------------------------------------------------
</f>
        <v/>
      </c>
      <c r="E47">
        <f>== Voter 5 ===
EPIC: PJ20279743
निर्वाचक का नाम: देवन्ती देवी
मकान संख्या: ; 47
उम्र: 39 वर्ष, लिंग: ; महिला
फोटो उपलब्ध
--------------------------------------------------
</f>
        <v/>
      </c>
      <c r="F47">
        <f>== Voter 6 ===
EPIC: SPJ2279735
निर्वाचक का नाम: सुनील कुमार सिंग
पिता का नाम: विजय नारायण सिंग
उम्र: 33 वर्ष, लिंग: महिला
--------------------------------------------------
</f>
        <v/>
      </c>
      <c r="G47">
        <f>== Voter 7 ===
EPIC: SPJI759927
निर्वाचक का नाम: विजय मलिल्क
पिता का नाम: उमन मल्लिल
मकान संख्या: ; 54 फ़ोटो उपलब्ध
उम्र: 30 वर्ष, लिंग: पुरुष
--------------------------------------------------
</f>
        <v/>
      </c>
      <c r="H47">
        <f>== Voter 8 ===
EPIC: SPJ2356760
निर्वाचक का नाम: ; अमरदीप कुमार साह
पिता का नाम: योगेन्द्र प्रसाद साह
उम्र: 30 वर्ष, लिंग: पुरुष
--------------------------------------------------
</f>
        <v/>
      </c>
      <c r="I47">
        <f>== Voter 9 ===
EPIC: SPJ0775564
निर्वाचक का नाम: धीरेन्द कुमार पासवान
पिता का नाम: आनंदी पासवान
मकान संख्या: 52
उम्र: 30 वर्ष, लिंग: पुरुष
फोटो उपलब्ध
--------------------------------------------------
</f>
        <v/>
      </c>
      <c r="J47">
        <f>== Voter 10 ===
EPIC: SPJ7762830
निर्वाचक का नाम: राधा देवी
पिता का नाम: faster यादव
मकान संख्या: 50
उम्र: 40 वर्ष, लिंग: महिला
फोटो उपलब्ध
--------------------------------------------------
</f>
        <v/>
      </c>
      <c r="K47">
        <f>== Voter 11 ===
EPIC: SPJ0775980
निर्वाचक का नाम: यसोदा देवी
पिता का नाम: संजय कुमार सिंह
मकान संख्या: 50
उम्र: 40 वर्ष, लिंग: महिला
फोटो उपलब्ध
--------------------------------------------------
</f>
        <v/>
      </c>
      <c r="L47">
        <f>== Voter 12 ===
EPIC: SPJ7754563
निर्वाचक का नाम: तुषार तुषार
पति का नाम: मनोज कुमार मंडल
मकान संख्या: 55
उम्र: 34 वर्ष, लिंग: महिला
फोटो उपलब्ध
--------------------------------------------------
</f>
        <v/>
      </c>
      <c r="M47">
        <f>== Voter 13 ===
EPIC: SPJ0756600
निर्वाचक का नाम: ; रौनक प्रवीन
मकान संख्या: 55
उम्र: 35 वर्ष
फोटो उपलब्ध
--------------------------------------------------
</f>
        <v/>
      </c>
      <c r="N47">
        <f>== Voter 14 ===
EPIC: SPJ7754852
निर्वाचक का नाम: रफ़्त प्रवीण निर्वाचक का नाम; शिव चरण कुमार
पिता का नाम: रामेश्वर खातवे
मकान संख्या: 57
उम्र: 28 वर्ष
फोटो उपलब्ध
--------------------------------------------------
</f>
        <v/>
      </c>
      <c r="O47">
        <f>== Voter 15 ===
EPIC: PJ70756550
निर्वाचक का नाम: का नाम
मकान संख्या: 57
उम्र: 20 वर्ष, लिंग: ; पुरुष
फोटो उपलब्ध
--------------------------------------------------
</f>
        <v/>
      </c>
      <c r="P47">
        <f>== Voter 16 ===
EPIC: SPJ0230854
निर्वाचक का नाम: का नाम
मकान संख्या: 56
उम्र: 22 वर्ष, लिंग: महिला
फोटो उपलब्ध
--------------------------------------------------
</f>
        <v/>
      </c>
      <c r="Q47">
        <f>== Voter 17 ===
EPIC: SPJ0288043
निर्वाचक का नाम: का नाम
मकान संख्या: 56
उम्र: 22 वर्ष, लिंग: महिला
फोटो उपलब्ध
--------------------------------------------------
</f>
        <v/>
      </c>
      <c r="R47">
        <f>== Voter 18 ===
EPIC: SPJ0288065
निर्वाचक का नाम: का नाम
मकान संख्या: 56
उम्र: 22 वर्ष, लिंग: महिला
फोटो उपलब्ध
--------------------------------------------------
</f>
        <v/>
      </c>
      <c r="S47">
        <f>== Voter 19 ===
EPIC: SPJ3024379
उम्र: 38 वर्ष
--------------------------------------------------
</f>
        <v/>
      </c>
      <c r="T47">
        <f>== Voter 20 ===
EPIC: SPJ0287896
मकान संख्या: वार्ड 4
उम्र: 38 वर्ष
फोटो उपलब्ध
--------------------------------------------------
</f>
        <v/>
      </c>
      <c r="U47">
        <f>== Voter 21 ===
EPIC: SPJ2857894
मकान संख्या: तुषार
फोटो उपलब्ध
--------------------------------------------------
</f>
        <v/>
      </c>
      <c r="V47">
        <f>== Voter 22 ===
EPIC: SPJ2972459
--------------------------------------------------
</f>
        <v/>
      </c>
      <c r="W47">
        <f>== Voter 23 ===
EPIC: SPJ2937940
निर्वाचक का नाम: मसीऊज्जमा
मकान संख्या: वार्ड नंबर-08
उम्र: 30 वर्ष
फोटो उपलब्ध
--------------------------------------------------
</f>
        <v/>
      </c>
      <c r="X47" t="inlineStr"/>
      <c r="Y47" t="inlineStr"/>
      <c r="Z47" t="inlineStr"/>
      <c r="AA47" t="inlineStr"/>
      <c r="AB47" t="inlineStr"/>
    </row>
    <row r="48">
      <c r="A48">
        <f>== Voter 1 ===
EPIC: SPJ0307679
निर्वाचक का नाम: नरेश कुमार यादव
मकान संख्या: 75 फ़ोटो उपलब्ध मकान संख्या : 8
उम्र: 22 वर्ष
फोटो उपलब्ध
--------------------------------------------------
</f>
        <v/>
      </c>
      <c r="B48">
        <f>== Voter 2 ===
EPIC: SPJ3775409
मकान संख्या: 44
उम्र: 25 वर्ष
फोटो उपलब्ध
--------------------------------------------------
</f>
        <v/>
      </c>
      <c r="C48">
        <f>== Voter 3 ===
EPIC: SPJ3994527
मकान संख्या: वार्ड नं 3
उम्र: 78 वर्ष
फोटो उपलब्ध
--------------------------------------------------
</f>
        <v/>
      </c>
      <c r="D48">
        <f>== Voter 4 ===
EPIC: SPU3776050
मकान संख्या: 72
उम्र: 20 वर्ष
फोटो उपलब्ध
--------------------------------------------------
</f>
        <v/>
      </c>
      <c r="E48">
        <f>== Voter 5 ===
EPIC: SPJ3720596
मकान संख्या: 89
उम्र: 25 वर्ष
फोटो उपलब्ध
--------------------------------------------------
</f>
        <v/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2025-08-03T13:08:53Z</dcterms:created>
  <dcterms:modified xsi:type="dcterms:W3CDTF">2025-08-03T13:08:53Z</dcterms:modified>
</cp:coreProperties>
</file>